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locked Items Log" sheetId="2" state="visible" r:id="rId4"/>
    <sheet name="Summary 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<sst xmlns="http://schemas.openxmlformats.org/spreadsheetml/2006/main" count="224" uniqueCount="183">
  <si>
    <t xml:space="preserve">BLOCKED ITEMS TRACKER — INSTRUCTIONS</t>
  </si>
  <si>
    <t xml:space="preserve">v2.0 Program  •  Owner: PM  •  Log blockers within 24 hours of identification regardless of source</t>
  </si>
  <si>
    <t xml:space="preserve">PURPOSE &amp; WORKFLOW</t>
  </si>
  <si>
    <t xml:space="preserve">PURPOSE</t>
  </si>
  <si>
    <t xml:space="preserve">Single consolidated view of everything actively blocking program work. Blockers surface from many sources — COSMOS, ClickUp, standups, emails, tag-ups — but must be logged here to be visible, owned, and tracked to resolution.</t>
  </si>
  <si>
    <t xml:space="preserve">WHO LOGS</t>
  </si>
  <si>
    <t xml:space="preserve">Domain leads log blockers from their branch. PM logs anything cross-branch or surfaced in meetings. No blocker should exist for more than 24 hours before appearing here.</t>
  </si>
  <si>
    <t xml:space="preserve">UPDATE CADENCE</t>
  </si>
  <si>
    <t xml:space="preserve">Reviewed at every weekly tag-up. Status and days open auto-calculate. Any blocker open &gt;5 business days (internal) or any duration (external) is a standing tag-up agenda item.</t>
  </si>
  <si>
    <t xml:space="preserve">WHAT GOES HERE</t>
  </si>
  <si>
    <t xml:space="preserve">Only true blockers — work that cannot proceed until a specific decision is made or action is taken. Dependencies with known timelines and risks belong in the risk register, not here.</t>
  </si>
  <si>
    <t xml:space="preserve">RESOLUTION</t>
  </si>
  <si>
    <t xml:space="preserve">When a blocker is resolved, set Status = Resolved and enter the Date Resolved. The item remains visible for 30 days then can be archived. Never delete resolved blockers.</t>
  </si>
  <si>
    <t xml:space="preserve">BLOCKER TYPE DEFINITIONS</t>
  </si>
  <si>
    <t xml:space="preserve">BLOCKER TYPE</t>
  </si>
  <si>
    <t xml:space="preserve">DEFINITION</t>
  </si>
  <si>
    <t xml:space="preserve">ESCALATION IMPLICATION</t>
  </si>
  <si>
    <t xml:space="preserve">Internal</t>
  </si>
  <si>
    <t xml:space="preserve">Blocked by something within the contractor team's control. A technical decision, a resource constraint, a dependency between team members.</t>
  </si>
  <si>
    <t xml:space="preserve">Resolve within 5 business days. If not resolved, escalate to PM. Does not surface in government customer reports unless it impacts a milestone.</t>
  </si>
  <si>
    <t xml:space="preserve">External — Government</t>
  </si>
  <si>
    <t xml:space="preserve">Blocked by a required government decision, approval, access grant, or action. The government customer must act to unblock this.</t>
  </si>
  <si>
    <t xml:space="preserve">Surface in weekly status report immediately. Log in government-facing decision authority section. Track days awaiting government action.</t>
  </si>
  <si>
    <t xml:space="preserve">External — Procurement</t>
  </si>
  <si>
    <t xml:space="preserve">Blocked by a pending procurement action — a mod, a PO, a GFE delivery, a license approval.</t>
  </si>
  <si>
    <t xml:space="preserve">Surface to Contracts Lead immediately. If it impacts a milestone, escalate to government customer. Log related Change Request if applicable.</t>
  </si>
  <si>
    <t xml:space="preserve">External — Third Party</t>
  </si>
  <si>
    <t xml:space="preserve">Blocked by a vendor, subcontractor, or external dependency outside both contractor and government control.</t>
  </si>
  <si>
    <t xml:space="preserve">PM owns tracking and escalation path. If subcontractor is the blocker, reference their Vendor ID and check agreement terms for remedies.</t>
  </si>
  <si>
    <t xml:space="preserve">SOURCE FIELD — WHERE BLOCKERS COME FROM</t>
  </si>
  <si>
    <t xml:space="preserve">SOURCE VALUE</t>
  </si>
  <si>
    <t xml:space="preserve">WHEN TO USE</t>
  </si>
  <si>
    <t xml:space="preserve">ClickUp</t>
  </si>
  <si>
    <t xml:space="preserve">Blocker identified from a ClickUp task status or comment.</t>
  </si>
  <si>
    <t xml:space="preserve">COSMOS</t>
  </si>
  <si>
    <t xml:space="preserve">Blocker identified from a COSMOS task, sprint item, or status flag.</t>
  </si>
  <si>
    <t xml:space="preserve">Standup</t>
  </si>
  <si>
    <t xml:space="preserve">Blocker surfaced verbally in a daily standup.</t>
  </si>
  <si>
    <t xml:space="preserve">Tag-up</t>
  </si>
  <si>
    <t xml:space="preserve">Blocker surfaced in a weekly tag-up or branch review.</t>
  </si>
  <si>
    <t xml:space="preserve">Email</t>
  </si>
  <si>
    <t xml:space="preserve">Blocker identified from an email thread.</t>
  </si>
  <si>
    <t xml:space="preserve">Teams/Slack</t>
  </si>
  <si>
    <t xml:space="preserve">Blocker identified from a Teams or Slack message.</t>
  </si>
  <si>
    <t xml:space="preserve">PM Identified</t>
  </si>
  <si>
    <t xml:space="preserve">PM identified the blocker through their own review or analysis.</t>
  </si>
  <si>
    <t xml:space="preserve">Other</t>
  </si>
  <si>
    <t xml:space="preserve">Any other source — describe in the Notes field.</t>
  </si>
  <si>
    <t xml:space="preserve">BLOCKED ITEMS LOG  [Table: BlockedItems]</t>
  </si>
  <si>
    <t xml:space="preserve">Log blockers within 24 hours  •  Internal blockers: resolve in 5 days or escalate  •  External blockers: surface in weekly report immediately  •  Green template row = copy for new entry</t>
  </si>
  <si>
    <t xml:space="preserve">Blocker
ID</t>
  </si>
  <si>
    <t xml:space="preserve">Date
Identified</t>
  </si>
  <si>
    <t xml:space="preserve">Branch</t>
  </si>
  <si>
    <t xml:space="preserve">Source</t>
  </si>
  <si>
    <t xml:space="preserve">Blocker
Type</t>
  </si>
  <si>
    <t xml:space="preserve">Blocker Title</t>
  </si>
  <si>
    <t xml:space="preserve">Full Description
(what is blocked and why)</t>
  </si>
  <si>
    <t xml:space="preserve">What Unblocks
This</t>
  </si>
  <si>
    <t xml:space="preserve">Decision
Authority</t>
  </si>
  <si>
    <t xml:space="preserve">Identified
By</t>
  </si>
  <si>
    <t xml:space="preserve">Blocker
Owner</t>
  </si>
  <si>
    <t xml:space="preserve">Related
Task / Ref</t>
  </si>
  <si>
    <t xml:space="preserve">Related
Risk ID</t>
  </si>
  <si>
    <t xml:space="preserve">Escalate to
Customer?</t>
  </si>
  <si>
    <t xml:space="preserve">Customer
Notified Date</t>
  </si>
  <si>
    <t xml:space="preserve">Target
Resolution</t>
  </si>
  <si>
    <t xml:space="preserve">Status</t>
  </si>
  <si>
    <t xml:space="preserve">Date
Resolved</t>
  </si>
  <si>
    <t xml:space="preserve">Days
Open</t>
  </si>
  <si>
    <t xml:space="preserve">Notes</t>
  </si>
  <si>
    <t xml:space="preserve">Format:
BL-001</t>
  </si>
  <si>
    <t xml:space="preserve">MM/DD/
YYYY</t>
  </si>
  <si>
    <t xml:space="preserve">Branch
1.0–6.0</t>
  </si>
  <si>
    <t xml:space="preserve">ClickUp /
COSMOS /
Standup etc.</t>
  </si>
  <si>
    <t xml:space="preserve">Internal /
External—Govt /
External—Proc /
External—3P</t>
  </si>
  <si>
    <t xml:space="preserve">≤10 words</t>
  </si>
  <si>
    <t xml:space="preserve">Specific —
what work
cannot proceed</t>
  </si>
  <si>
    <t xml:space="preserve">Specific action
or decision
needed</t>
  </si>
  <si>
    <t xml:space="preserve">Who can
unblock this</t>
  </si>
  <si>
    <t xml:space="preserve">Name of
person who
found it</t>
  </si>
  <si>
    <t xml:space="preserve">Name —
one person
only</t>
  </si>
  <si>
    <t xml:space="preserve">ClickUp ID /
COSMOS ref /
email thread</t>
  </si>
  <si>
    <t xml:space="preserve">R-001
or blank</t>
  </si>
  <si>
    <t xml:space="preserve">Yes / No</t>
  </si>
  <si>
    <t xml:space="preserve">MM/DD/YYYY
or blank</t>
  </si>
  <si>
    <t xml:space="preserve">Open /
In Progress /
Resolved /
Escalated</t>
  </si>
  <si>
    <t xml:space="preserve">MM/DD/YYYY
when resolved</t>
  </si>
  <si>
    <t xml:space="preserve">AUTO →
formula</t>
  </si>
  <si>
    <t xml:space="preserve">Context /
update notes</t>
  </si>
  <si>
    <t xml:space="preserve">▶ COPY THIS ROW — fill in all non-AUTO fields</t>
  </si>
  <si>
    <t xml:space="preserve">[Branch]</t>
  </si>
  <si>
    <t xml:space="preserve">[Source]</t>
  </si>
  <si>
    <t xml:space="preserve">[Blocker title — what is blocked]</t>
  </si>
  <si>
    <t xml:space="preserve">[Describe what work cannot proceed and the specific reason it is blocked]</t>
  </si>
  <si>
    <t xml:space="preserve">[What specific decision or action resolves this]</t>
  </si>
  <si>
    <t xml:space="preserve">[Name / role of person who can unblock]</t>
  </si>
  <si>
    <t xml:space="preserve">[Who identified]</t>
  </si>
  <si>
    <t xml:space="preserve">[Owner — one person]</t>
  </si>
  <si>
    <t xml:space="preserve">[Task ref or blank]</t>
  </si>
  <si>
    <t xml:space="preserve">[R-001 or blank]</t>
  </si>
  <si>
    <t xml:space="preserve">No</t>
  </si>
  <si>
    <t xml:space="preserve">Open</t>
  </si>
  <si>
    <t xml:space="preserve">[Notes]</t>
  </si>
  <si>
    <t xml:space="preserve">BL-001</t>
  </si>
  <si>
    <t xml:space="preserve">06/01/2026</t>
  </si>
  <si>
    <t xml:space="preserve">3.0 Security &amp; Compliance</t>
  </si>
  <si>
    <t xml:space="preserve">ATO Interim Authorization Decision Pending</t>
  </si>
  <si>
    <t xml:space="preserve">Security team cannot finalize RMF package submission without government AO decision on whether to pursue interim ATO or full ATO. Both paths have different documentation requirements.</t>
  </si>
  <si>
    <t xml:space="preserve">Government AO to decide: interim ATO vs. full ATO path by 06/30/2026.</t>
  </si>
  <si>
    <t xml:space="preserve">Government Authorizing Official (AO)</t>
  </si>
  <si>
    <t xml:space="preserve">Security Lead</t>
  </si>
  <si>
    <t xml:space="preserve">PM</t>
  </si>
  <si>
    <t xml:space="preserve">R-001</t>
  </si>
  <si>
    <t xml:space="preserve">Yes</t>
  </si>
  <si>
    <t xml:space="preserve">06/05/2026</t>
  </si>
  <si>
    <t xml:space="preserve">06/30/2026</t>
  </si>
  <si>
    <t xml:space="preserve">Escalated</t>
  </si>
  <si>
    <t xml:space="preserve">Escalated to COR 06/05. Awaiting AO response.</t>
  </si>
  <si>
    <t xml:space="preserve">BL-002</t>
  </si>
  <si>
    <t xml:space="preserve">06/10/2026</t>
  </si>
  <si>
    <t xml:space="preserve">4.0 Infra &amp; Environment</t>
  </si>
  <si>
    <t xml:space="preserve">GFE Server Delivery Delayed</t>
  </si>
  <si>
    <t xml:space="preserve">Production environment configuration cannot begin until GFE servers are delivered. Government procurement tracking shows 6-week delay from original delivery date.</t>
  </si>
  <si>
    <t xml:space="preserve">Government COR to provide updated GFE delivery date and authorize interim cloud workaround if delay exceeds 4 weeks.</t>
  </si>
  <si>
    <t xml:space="preserve">Government COR</t>
  </si>
  <si>
    <t xml:space="preserve">Infra Lead</t>
  </si>
  <si>
    <t xml:space="preserve">R-003</t>
  </si>
  <si>
    <t xml:space="preserve">06/12/2026</t>
  </si>
  <si>
    <t xml:space="preserve">07/15/2026</t>
  </si>
  <si>
    <t xml:space="preserve">COR notified 06/12. Interim cloud option scoped by Infra Lead — awaiting authorization.</t>
  </si>
  <si>
    <t xml:space="preserve">BL-003</t>
  </si>
  <si>
    <t xml:space="preserve">06/15/2026</t>
  </si>
  <si>
    <t xml:space="preserve">2.0 Software Development</t>
  </si>
  <si>
    <t xml:space="preserve">API Schema Decision Blocking Sprint 4 Features</t>
  </si>
  <si>
    <t xml:space="preserve">Three Sprint 4 features depend on a finalized API schema. Tech lead and PM have not reached agreement on versioning approach. Dev team blocked from starting feature development.</t>
  </si>
  <si>
    <t xml:space="preserve">Tech lead and PM to decide API versioning approach in next sprint planning session.</t>
  </si>
  <si>
    <t xml:space="preserve">Tech Lead + PM</t>
  </si>
  <si>
    <t xml:space="preserve">Dev Lead</t>
  </si>
  <si>
    <t xml:space="preserve">Tech Lead</t>
  </si>
  <si>
    <t xml:space="preserve">COSMOS-0042</t>
  </si>
  <si>
    <t xml:space="preserve">06/20/2026</t>
  </si>
  <si>
    <t xml:space="preserve">In Progress</t>
  </si>
  <si>
    <t xml:space="preserve">Decision session scheduled 06/18. Draft schema options prepared by tech lead.</t>
  </si>
  <si>
    <t xml:space="preserve">BL-004</t>
  </si>
  <si>
    <t xml:space="preserve">06/18/2026</t>
  </si>
  <si>
    <t xml:space="preserve">DataBridge (V-005) SME Unavailable</t>
  </si>
  <si>
    <t xml:space="preserve">DataBridge Consulting SME scheduled for API integration work is unavailable due to personal emergency. No substitute resource identified. Integration work paused.</t>
  </si>
  <si>
    <t xml:space="preserve">DataBridge to provide substitute SME or revised availability date within 5 business days per SUBK-003 terms.</t>
  </si>
  <si>
    <t xml:space="preserve">PM — escalate to DataBridge PM per contract terms</t>
  </si>
  <si>
    <t xml:space="preserve">SUBK-003</t>
  </si>
  <si>
    <t xml:space="preserve">R-004</t>
  </si>
  <si>
    <t xml:space="preserve">06/25/2026</t>
  </si>
  <si>
    <t xml:space="preserve">Formal notice sent to DataBridge 06/18 per contract notification requirements.</t>
  </si>
  <si>
    <t xml:space="preserve">BL-005</t>
  </si>
  <si>
    <t xml:space="preserve">1.0 Program Management</t>
  </si>
  <si>
    <t xml:space="preserve">RACI Not Finalized — Blocking Branch Reporting</t>
  </si>
  <si>
    <t xml:space="preserve">RACI matrix for branches 3.0 and 4.0 not yet agreed. Domain leads unclear on accountability boundaries. Affecting quality of weekly tag-up reporting from those branches.</t>
  </si>
  <si>
    <t xml:space="preserve">PM to facilitate RACI finalization session with Security Lead and Infra Lead.</t>
  </si>
  <si>
    <t xml:space="preserve">Resolved</t>
  </si>
  <si>
    <t xml:space="preserve">06/11/2026</t>
  </si>
  <si>
    <t xml:space="preserve">RACI finalized in working session 06/11. Distributed to team.</t>
  </si>
  <si>
    <t xml:space="preserve">BLOCKED ITEMS — SUMMARY VIEW</t>
  </si>
  <si>
    <t xml:space="preserve">Auto-calculated from Blocked Items Log  •  Use this view for tag-up agenda and weekly status report</t>
  </si>
  <si>
    <t xml:space="preserve">OPEN BLOCKERS BY STATUS</t>
  </si>
  <si>
    <t xml:space="preserve">Count</t>
  </si>
  <si>
    <t xml:space="preserve">External
(Govt/Proc/3P)</t>
  </si>
  <si>
    <t xml:space="preserve">Avg Days Open</t>
  </si>
  <si>
    <t xml:space="preserve">Action</t>
  </si>
  <si>
    <t xml:space="preserve">Immediate PM attention required</t>
  </si>
  <si>
    <t xml:space="preserve">Review at tag-up — assign resolution action</t>
  </si>
  <si>
    <t xml:space="preserve">Confirm owner has clear path to resolution</t>
  </si>
  <si>
    <t xml:space="preserve">No action — log complete</t>
  </si>
  <si>
    <t xml:space="preserve">OPEN BLOCKERS BY BRANCH</t>
  </si>
  <si>
    <t xml:space="preserve">Total Open</t>
  </si>
  <si>
    <t xml:space="preserve">External</t>
  </si>
  <si>
    <t xml:space="preserve">Oldest
Open (days)</t>
  </si>
  <si>
    <t xml:space="preserve">5.0 OT&amp;E</t>
  </si>
  <si>
    <t xml:space="preserve">6.0 Fielding &amp; Transition</t>
  </si>
  <si>
    <t xml:space="preserve">ESCALATED TO CUSTOMER — REQUIRES GOVERNMENT ACTION</t>
  </si>
  <si>
    <t xml:space="preserve">Blocker ID</t>
  </si>
  <si>
    <t xml:space="preserve">Title</t>
  </si>
  <si>
    <t xml:space="preserve">Days Open</t>
  </si>
  <si>
    <t xml:space="preserve">Target Resolution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</si>
</sst>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1E4620"/>
      <name val="Arial"/>
      <family val="0"/>
      <charset val="1"/>
    </font>
    <font>
      <i val="true"/>
      <sz val="10"/>
      <color rgb="FF1E462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0"/>
      <color rgb="FF2E4D8A"/>
      <name val="Arial"/>
      <family val="0"/>
      <charset val="1"/>
    </font>
    <font>
      <sz val="10"/>
      <color rgb="FF2E4D8A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27622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D8A"/>
      </patternFill>
    </fill>
    <fill>
      <patternFill patternType="solid">
        <fgColor rgb="FFD9E1F2"/>
        <bgColor rgb="FFDDEBF7"/>
      </patternFill>
    </fill>
    <fill>
      <patternFill patternType="solid">
        <fgColor rgb="FFFFFFFF"/>
        <bgColor rgb="FFF7F7F7"/>
      </patternFill>
    </fill>
    <fill>
      <patternFill patternType="solid">
        <fgColor rgb="FF2E4D8A"/>
        <bgColor rgb="FF1F3864"/>
      </patternFill>
    </fill>
    <fill>
      <patternFill patternType="solid">
        <fgColor rgb="FFF7F7F7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CCCC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9C0006"/>
        <bgColor rgb="FF800000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462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2E4D8A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CCC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2E4D8A"/>
        <sz val="10"/>
      </font>
      <fill>
        <patternFill>
          <bgColor rgb="FFDDEBF7"/>
        </patternFill>
      </fill>
    </dxf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833C00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7F7F7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555555"/>
      <rgbColor rgb="FF833C00"/>
      <rgbColor rgb="FF993366"/>
      <rgbColor rgb="FF2E4D8A"/>
      <rgbColor rgb="FF1E4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lockedItems" displayName="BlockedItems" ref="A3:T10" headerRowCount="1" totalsRowCount="0" totalsRowShown="0">
  <autoFilter ref="A3:T10"/>
  <tableColumns count="20">
    <tableColumn id="1" name="Blocker&#10;ID"/>
    <tableColumn id="2" name="Date&#10;Identified"/>
    <tableColumn id="3" name="Branch"/>
    <tableColumn id="4" name="Source"/>
    <tableColumn id="5" name="Blocker&#10;Type"/>
    <tableColumn id="6" name="Blocker Title"/>
    <tableColumn id="7" name="Full Description&#10;(what is blocked and why)"/>
    <tableColumn id="8" name="What Unblocks&#10;This"/>
    <tableColumn id="9" name="Decision&#10;Authority"/>
    <tableColumn id="10" name="Identified&#10;By"/>
    <tableColumn id="11" name="Blocker&#10;Owner"/>
    <tableColumn id="12" name="Related&#10;Task / Ref"/>
    <tableColumn id="13" name="Related&#10;Risk ID"/>
    <tableColumn id="14" name="Escalate to&#10;Customer?"/>
    <tableColumn id="15" name="Customer&#10;Notified Date"/>
    <tableColumn id="16" name="Target&#10;Resolution"/>
    <tableColumn id="17" name="Status"/>
    <tableColumn id="18" name="Date&#10;Resolved"/>
    <tableColumn id="19" name="Days&#10;Open"/>
    <tableColumn id="2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38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4" customFormat="false" ht="24" hidden="false" customHeight="true" outlineLevel="0" collapsed="false">
      <c r="A4" s="3" t="s">
        <v>2</v>
      </c>
      <c r="B4" s="3"/>
      <c r="C4" s="3"/>
    </row>
    <row r="5" customFormat="false" ht="43.5" hidden="false" customHeight="true" outlineLevel="0" collapsed="false">
      <c r="A5" s="4" t="s">
        <v>3</v>
      </c>
      <c r="B5" s="5" t="s">
        <v>4</v>
      </c>
      <c r="C5" s="5"/>
    </row>
    <row r="6" customFormat="false" ht="43.5" hidden="false" customHeight="true" outlineLevel="0" collapsed="false">
      <c r="A6" s="6" t="s">
        <v>5</v>
      </c>
      <c r="B6" s="7" t="s">
        <v>6</v>
      </c>
      <c r="C6" s="7"/>
    </row>
    <row r="7" customFormat="false" ht="43.5" hidden="false" customHeight="true" outlineLevel="0" collapsed="false">
      <c r="A7" s="4" t="s">
        <v>7</v>
      </c>
      <c r="B7" s="5" t="s">
        <v>8</v>
      </c>
      <c r="C7" s="5"/>
    </row>
    <row r="8" customFormat="false" ht="43.5" hidden="false" customHeight="true" outlineLevel="0" collapsed="false">
      <c r="A8" s="6" t="s">
        <v>9</v>
      </c>
      <c r="B8" s="7" t="s">
        <v>10</v>
      </c>
      <c r="C8" s="7"/>
    </row>
    <row r="9" customFormat="false" ht="43.5" hidden="false" customHeight="true" outlineLevel="0" collapsed="false">
      <c r="A9" s="4" t="s">
        <v>11</v>
      </c>
      <c r="B9" s="5" t="s">
        <v>12</v>
      </c>
      <c r="C9" s="5"/>
    </row>
    <row r="11" customFormat="false" ht="24" hidden="false" customHeight="true" outlineLevel="0" collapsed="false">
      <c r="A11" s="3" t="s">
        <v>13</v>
      </c>
      <c r="B11" s="3"/>
      <c r="C11" s="3"/>
    </row>
    <row r="12" customFormat="false" ht="24" hidden="false" customHeight="true" outlineLevel="0" collapsed="false">
      <c r="A12" s="8" t="s">
        <v>14</v>
      </c>
      <c r="B12" s="8" t="s">
        <v>15</v>
      </c>
      <c r="C12" s="8" t="s">
        <v>16</v>
      </c>
    </row>
    <row r="13" customFormat="false" ht="43.5" hidden="false" customHeight="true" outlineLevel="0" collapsed="false">
      <c r="A13" s="9" t="s">
        <v>17</v>
      </c>
      <c r="B13" s="9" t="s">
        <v>18</v>
      </c>
      <c r="C13" s="9" t="s">
        <v>19</v>
      </c>
    </row>
    <row r="14" customFormat="false" ht="43.5" hidden="false" customHeight="true" outlineLevel="0" collapsed="false">
      <c r="A14" s="10" t="s">
        <v>20</v>
      </c>
      <c r="B14" s="10" t="s">
        <v>21</v>
      </c>
      <c r="C14" s="10" t="s">
        <v>22</v>
      </c>
    </row>
    <row r="15" customFormat="false" ht="43.5" hidden="false" customHeight="true" outlineLevel="0" collapsed="false">
      <c r="A15" s="9" t="s">
        <v>23</v>
      </c>
      <c r="B15" s="9" t="s">
        <v>24</v>
      </c>
      <c r="C15" s="9" t="s">
        <v>25</v>
      </c>
    </row>
    <row r="16" customFormat="false" ht="43.5" hidden="false" customHeight="true" outlineLevel="0" collapsed="false">
      <c r="A16" s="10" t="s">
        <v>26</v>
      </c>
      <c r="B16" s="10" t="s">
        <v>27</v>
      </c>
      <c r="C16" s="10" t="s">
        <v>28</v>
      </c>
    </row>
    <row r="17" customFormat="false" ht="24" hidden="false" customHeight="true" outlineLevel="0" collapsed="false">
      <c r="A17" s="3" t="s">
        <v>29</v>
      </c>
      <c r="B17" s="3"/>
      <c r="C17" s="3"/>
    </row>
    <row r="18" customFormat="false" ht="24" hidden="false" customHeight="true" outlineLevel="0" collapsed="false">
      <c r="A18" s="8" t="s">
        <v>30</v>
      </c>
      <c r="B18" s="8" t="s">
        <v>31</v>
      </c>
    </row>
    <row r="19" customFormat="false" ht="27.75" hidden="false" customHeight="true" outlineLevel="0" collapsed="false">
      <c r="A19" s="9" t="s">
        <v>32</v>
      </c>
      <c r="B19" s="9" t="s">
        <v>33</v>
      </c>
      <c r="C19" s="9"/>
    </row>
    <row r="20" customFormat="false" ht="27.75" hidden="false" customHeight="true" outlineLevel="0" collapsed="false">
      <c r="A20" s="10" t="s">
        <v>34</v>
      </c>
      <c r="B20" s="10" t="s">
        <v>35</v>
      </c>
      <c r="C20" s="10"/>
    </row>
    <row r="21" customFormat="false" ht="27.75" hidden="false" customHeight="true" outlineLevel="0" collapsed="false">
      <c r="A21" s="9" t="s">
        <v>36</v>
      </c>
      <c r="B21" s="9" t="s">
        <v>37</v>
      </c>
      <c r="C21" s="9"/>
    </row>
    <row r="22" customFormat="false" ht="27.75" hidden="false" customHeight="true" outlineLevel="0" collapsed="false">
      <c r="A22" s="10" t="s">
        <v>38</v>
      </c>
      <c r="B22" s="10" t="s">
        <v>39</v>
      </c>
      <c r="C22" s="10"/>
    </row>
    <row r="23" customFormat="false" ht="27.75" hidden="false" customHeight="true" outlineLevel="0" collapsed="false">
      <c r="A23" s="9" t="s">
        <v>40</v>
      </c>
      <c r="B23" s="9" t="s">
        <v>41</v>
      </c>
      <c r="C23" s="9"/>
    </row>
    <row r="24" customFormat="false" ht="27.75" hidden="false" customHeight="true" outlineLevel="0" collapsed="false">
      <c r="A24" s="10" t="s">
        <v>42</v>
      </c>
      <c r="B24" s="10" t="s">
        <v>43</v>
      </c>
      <c r="C24" s="10"/>
    </row>
    <row r="25" customFormat="false" ht="27.75" hidden="false" customHeight="true" outlineLevel="0" collapsed="false">
      <c r="A25" s="9" t="s">
        <v>44</v>
      </c>
      <c r="B25" s="9" t="s">
        <v>45</v>
      </c>
      <c r="C25" s="9"/>
    </row>
    <row r="26" customFormat="false" ht="27.75" hidden="false" customHeight="true" outlineLevel="0" collapsed="false">
      <c r="A26" s="10" t="s">
        <v>46</v>
      </c>
      <c r="B26" s="10" t="s">
        <v>47</v>
      </c>
      <c r="C26" s="10"/>
    </row>
  </sheetData>
  <mergeCells count="18">
    <mergeCell ref="A1:C1"/>
    <mergeCell ref="A2:C2"/>
    <mergeCell ref="A4:C4"/>
    <mergeCell ref="B5:C5"/>
    <mergeCell ref="B6:C6"/>
    <mergeCell ref="B7:C7"/>
    <mergeCell ref="B8:C8"/>
    <mergeCell ref="B9:C9"/>
    <mergeCell ref="A11:C11"/>
    <mergeCell ref="A17:C17"/>
    <mergeCell ref="B19:C19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28"/>
    <col collapsed="false" customWidth="true" hidden="false" outlineLevel="0" max="12" min="10" style="0" width="18"/>
    <col collapsed="false" customWidth="true" hidden="false" outlineLevel="0" max="14" min="13" style="0" width="12"/>
    <col collapsed="false" customWidth="true" hidden="false" outlineLevel="0" max="15" min="15" style="0" width="16"/>
    <col collapsed="false" customWidth="true" hidden="false" outlineLevel="0" max="18" min="16" style="0" width="14"/>
    <col collapsed="false" customWidth="true" hidden="false" outlineLevel="0" max="19" min="19" style="0" width="10"/>
    <col collapsed="false" customWidth="true" hidden="false" outlineLevel="0" max="20" min="20" style="0" width="32"/>
  </cols>
  <sheetData>
    <row r="1" customFormat="false" ht="36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51.75" hidden="false" customHeight="true" outlineLevel="0" collapsed="false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55</v>
      </c>
      <c r="G3" s="11" t="s">
        <v>56</v>
      </c>
      <c r="H3" s="11" t="s">
        <v>57</v>
      </c>
      <c r="I3" s="11" t="s">
        <v>58</v>
      </c>
      <c r="J3" s="11" t="s">
        <v>59</v>
      </c>
      <c r="K3" s="11" t="s">
        <v>60</v>
      </c>
      <c r="L3" s="11" t="s">
        <v>61</v>
      </c>
      <c r="M3" s="11" t="s">
        <v>62</v>
      </c>
      <c r="N3" s="11" t="s">
        <v>63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69</v>
      </c>
    </row>
    <row r="4" customFormat="false" ht="51.75" hidden="false" customHeight="true" outlineLevel="0" collapsed="false">
      <c r="A4" s="12" t="s">
        <v>70</v>
      </c>
      <c r="B4" s="12" t="s">
        <v>71</v>
      </c>
      <c r="C4" s="12" t="s">
        <v>72</v>
      </c>
      <c r="D4" s="12" t="s">
        <v>73</v>
      </c>
      <c r="E4" s="12" t="s">
        <v>74</v>
      </c>
      <c r="F4" s="12" t="s">
        <v>75</v>
      </c>
      <c r="G4" s="12" t="s">
        <v>76</v>
      </c>
      <c r="H4" s="12" t="s">
        <v>77</v>
      </c>
      <c r="I4" s="12" t="s">
        <v>78</v>
      </c>
      <c r="J4" s="12" t="s">
        <v>79</v>
      </c>
      <c r="K4" s="12" t="s">
        <v>80</v>
      </c>
      <c r="L4" s="12" t="s">
        <v>81</v>
      </c>
      <c r="M4" s="12" t="s">
        <v>82</v>
      </c>
      <c r="N4" s="12" t="s">
        <v>83</v>
      </c>
      <c r="O4" s="12" t="s">
        <v>84</v>
      </c>
      <c r="P4" s="12" t="s">
        <v>71</v>
      </c>
      <c r="Q4" s="12" t="s">
        <v>85</v>
      </c>
      <c r="R4" s="12" t="s">
        <v>86</v>
      </c>
      <c r="S4" s="12" t="s">
        <v>87</v>
      </c>
      <c r="T4" s="12" t="s">
        <v>88</v>
      </c>
    </row>
    <row r="5" customFormat="false" ht="39.75" hidden="false" customHeight="true" outlineLevel="0" collapsed="false">
      <c r="A5" s="13" t="s">
        <v>89</v>
      </c>
      <c r="B5" s="14"/>
      <c r="C5" s="14" t="s">
        <v>90</v>
      </c>
      <c r="D5" s="14" t="s">
        <v>91</v>
      </c>
      <c r="E5" s="14" t="s">
        <v>17</v>
      </c>
      <c r="F5" s="14" t="s">
        <v>92</v>
      </c>
      <c r="G5" s="14" t="s">
        <v>93</v>
      </c>
      <c r="H5" s="14" t="s">
        <v>94</v>
      </c>
      <c r="I5" s="14" t="s">
        <v>95</v>
      </c>
      <c r="J5" s="14" t="s">
        <v>96</v>
      </c>
      <c r="K5" s="14" t="s">
        <v>97</v>
      </c>
      <c r="L5" s="14" t="s">
        <v>98</v>
      </c>
      <c r="M5" s="14" t="s">
        <v>99</v>
      </c>
      <c r="N5" s="14" t="s">
        <v>100</v>
      </c>
      <c r="O5" s="14"/>
      <c r="P5" s="14"/>
      <c r="Q5" s="14" t="s">
        <v>101</v>
      </c>
      <c r="R5" s="14"/>
      <c r="S5" s="15" t="str">
        <f aca="true">IF(B5="","",IF(R5&lt;&gt;"",R5-B5,TODAY()-B5))</f>
        <v/>
      </c>
      <c r="T5" s="14" t="s">
        <v>102</v>
      </c>
    </row>
    <row r="6" customFormat="false" ht="51.75" hidden="false" customHeight="true" outlineLevel="0" collapsed="false">
      <c r="A6" s="5" t="s">
        <v>103</v>
      </c>
      <c r="B6" s="5" t="s">
        <v>104</v>
      </c>
      <c r="C6" s="5" t="s">
        <v>105</v>
      </c>
      <c r="D6" s="5" t="s">
        <v>38</v>
      </c>
      <c r="E6" s="5" t="s">
        <v>20</v>
      </c>
      <c r="F6" s="5" t="s">
        <v>106</v>
      </c>
      <c r="G6" s="5" t="s">
        <v>107</v>
      </c>
      <c r="H6" s="5" t="s">
        <v>108</v>
      </c>
      <c r="I6" s="5" t="s">
        <v>109</v>
      </c>
      <c r="J6" s="5" t="s">
        <v>110</v>
      </c>
      <c r="K6" s="5" t="s">
        <v>111</v>
      </c>
      <c r="L6" s="5"/>
      <c r="M6" s="5" t="s">
        <v>112</v>
      </c>
      <c r="N6" s="5" t="s">
        <v>113</v>
      </c>
      <c r="O6" s="5" t="s">
        <v>114</v>
      </c>
      <c r="P6" s="5" t="s">
        <v>115</v>
      </c>
      <c r="Q6" s="5" t="s">
        <v>116</v>
      </c>
      <c r="R6" s="5"/>
      <c r="S6" s="16" t="n">
        <f aca="true">IF(B6="","",IF(R6&lt;&gt;"",R6-B6,TODAY()-B6))</f>
        <v>23</v>
      </c>
      <c r="T6" s="5" t="s">
        <v>117</v>
      </c>
    </row>
    <row r="7" customFormat="false" ht="51.75" hidden="false" customHeight="true" outlineLevel="0" collapsed="false">
      <c r="A7" s="7" t="s">
        <v>118</v>
      </c>
      <c r="B7" s="7" t="s">
        <v>119</v>
      </c>
      <c r="C7" s="7" t="s">
        <v>120</v>
      </c>
      <c r="D7" s="7" t="s">
        <v>40</v>
      </c>
      <c r="E7" s="7" t="s">
        <v>23</v>
      </c>
      <c r="F7" s="7" t="s">
        <v>121</v>
      </c>
      <c r="G7" s="7" t="s">
        <v>122</v>
      </c>
      <c r="H7" s="7" t="s">
        <v>123</v>
      </c>
      <c r="I7" s="7" t="s">
        <v>124</v>
      </c>
      <c r="J7" s="7" t="s">
        <v>125</v>
      </c>
      <c r="K7" s="7" t="s">
        <v>125</v>
      </c>
      <c r="L7" s="7"/>
      <c r="M7" s="7" t="s">
        <v>126</v>
      </c>
      <c r="N7" s="7" t="s">
        <v>113</v>
      </c>
      <c r="O7" s="7" t="s">
        <v>127</v>
      </c>
      <c r="P7" s="7" t="s">
        <v>128</v>
      </c>
      <c r="Q7" s="7" t="s">
        <v>101</v>
      </c>
      <c r="R7" s="7"/>
      <c r="S7" s="17" t="n">
        <f aca="true">IF(B7="","",IF(R7&lt;&gt;"",R7-B7,TODAY()-B7))</f>
        <v>14</v>
      </c>
      <c r="T7" s="7" t="s">
        <v>129</v>
      </c>
    </row>
    <row r="8" customFormat="false" ht="51.75" hidden="false" customHeight="true" outlineLevel="0" collapsed="false">
      <c r="A8" s="5" t="s">
        <v>130</v>
      </c>
      <c r="B8" s="5" t="s">
        <v>131</v>
      </c>
      <c r="C8" s="5" t="s">
        <v>132</v>
      </c>
      <c r="D8" s="5" t="s">
        <v>34</v>
      </c>
      <c r="E8" s="5" t="s">
        <v>17</v>
      </c>
      <c r="F8" s="5" t="s">
        <v>133</v>
      </c>
      <c r="G8" s="5" t="s">
        <v>134</v>
      </c>
      <c r="H8" s="5" t="s">
        <v>135</v>
      </c>
      <c r="I8" s="5" t="s">
        <v>136</v>
      </c>
      <c r="J8" s="5" t="s">
        <v>137</v>
      </c>
      <c r="K8" s="5" t="s">
        <v>138</v>
      </c>
      <c r="L8" s="5" t="s">
        <v>139</v>
      </c>
      <c r="M8" s="5"/>
      <c r="N8" s="5" t="s">
        <v>100</v>
      </c>
      <c r="O8" s="5"/>
      <c r="P8" s="5" t="s">
        <v>140</v>
      </c>
      <c r="Q8" s="5" t="s">
        <v>141</v>
      </c>
      <c r="R8" s="5"/>
      <c r="S8" s="16" t="n">
        <f aca="true">IF(B8="","",IF(R8&lt;&gt;"",R8-B8,TODAY()-B8))</f>
        <v>9</v>
      </c>
      <c r="T8" s="5" t="s">
        <v>142</v>
      </c>
    </row>
    <row r="9" customFormat="false" ht="51.75" hidden="false" customHeight="true" outlineLevel="0" collapsed="false">
      <c r="A9" s="7" t="s">
        <v>143</v>
      </c>
      <c r="B9" s="7" t="s">
        <v>144</v>
      </c>
      <c r="C9" s="7" t="s">
        <v>132</v>
      </c>
      <c r="D9" s="7" t="s">
        <v>36</v>
      </c>
      <c r="E9" s="7" t="s">
        <v>26</v>
      </c>
      <c r="F9" s="7" t="s">
        <v>145</v>
      </c>
      <c r="G9" s="7" t="s">
        <v>146</v>
      </c>
      <c r="H9" s="7" t="s">
        <v>147</v>
      </c>
      <c r="I9" s="7" t="s">
        <v>148</v>
      </c>
      <c r="J9" s="7" t="s">
        <v>137</v>
      </c>
      <c r="K9" s="7" t="s">
        <v>111</v>
      </c>
      <c r="L9" s="7" t="s">
        <v>149</v>
      </c>
      <c r="M9" s="7" t="s">
        <v>150</v>
      </c>
      <c r="N9" s="7" t="s">
        <v>100</v>
      </c>
      <c r="O9" s="7"/>
      <c r="P9" s="7" t="s">
        <v>151</v>
      </c>
      <c r="Q9" s="7" t="s">
        <v>101</v>
      </c>
      <c r="R9" s="7"/>
      <c r="S9" s="17" t="n">
        <f aca="true">IF(B9="","",IF(R9&lt;&gt;"",R9-B9,TODAY()-B9))</f>
        <v>6</v>
      </c>
      <c r="T9" s="7" t="s">
        <v>152</v>
      </c>
    </row>
    <row r="10" customFormat="false" ht="51.75" hidden="false" customHeight="true" outlineLevel="0" collapsed="false">
      <c r="A10" s="5" t="s">
        <v>153</v>
      </c>
      <c r="B10" s="5" t="s">
        <v>114</v>
      </c>
      <c r="C10" s="5" t="s">
        <v>154</v>
      </c>
      <c r="D10" s="5" t="s">
        <v>32</v>
      </c>
      <c r="E10" s="5" t="s">
        <v>17</v>
      </c>
      <c r="F10" s="5" t="s">
        <v>155</v>
      </c>
      <c r="G10" s="5" t="s">
        <v>156</v>
      </c>
      <c r="H10" s="5" t="s">
        <v>157</v>
      </c>
      <c r="I10" s="5" t="s">
        <v>111</v>
      </c>
      <c r="J10" s="5" t="s">
        <v>111</v>
      </c>
      <c r="K10" s="5" t="s">
        <v>111</v>
      </c>
      <c r="L10" s="5"/>
      <c r="M10" s="5"/>
      <c r="N10" s="5" t="s">
        <v>100</v>
      </c>
      <c r="O10" s="5"/>
      <c r="P10" s="5" t="s">
        <v>127</v>
      </c>
      <c r="Q10" s="5" t="s">
        <v>158</v>
      </c>
      <c r="R10" s="5" t="s">
        <v>159</v>
      </c>
      <c r="S10" s="16" t="n">
        <f aca="true">IF(B10="","",IF(R10&lt;&gt;"",R10-B10,TODAY()-B10))</f>
        <v>6</v>
      </c>
      <c r="T10" s="5" t="s">
        <v>160</v>
      </c>
    </row>
  </sheetData>
  <mergeCells count="2">
    <mergeCell ref="A1:T1"/>
    <mergeCell ref="A2:T2"/>
  </mergeCells>
  <conditionalFormatting sqref="Q6:Q500">
    <cfRule type="expression" priority="2" aboveAverage="0" equalAverage="0" bottom="0" percent="0" rank="0" text="" dxfId="18">
      <formula>Q6="Escalated"</formula>
    </cfRule>
    <cfRule type="expression" priority="3" aboveAverage="0" equalAverage="0" bottom="0" percent="0" rank="0" text="" dxfId="19">
      <formula>Q6="Open"</formula>
    </cfRule>
    <cfRule type="expression" priority="4" aboveAverage="0" equalAverage="0" bottom="0" percent="0" rank="0" text="" dxfId="20">
      <formula>Q6="In Progress"</formula>
    </cfRule>
    <cfRule type="expression" priority="5" aboveAverage="0" equalAverage="0" bottom="0" percent="0" rank="0" text="" dxfId="21">
      <formula>Q6="Resolved"</formula>
    </cfRule>
  </conditionalFormatting>
  <conditionalFormatting sqref="E6:E500">
    <cfRule type="expression" priority="6" aboveAverage="0" equalAverage="0" bottom="0" percent="0" rank="0" text="" dxfId="22">
      <formula>LEFT(E6,8)="External"</formula>
    </cfRule>
  </conditionalFormatting>
  <conditionalFormatting sqref="S6:S500">
    <cfRule type="expression" priority="7" aboveAverage="0" equalAverage="0" bottom="0" percent="0" rank="0" text="" dxfId="18">
      <formula>AND(ISNUMBER(S6),S6&gt;10,Q6&lt;&gt;"Resolved")</formula>
    </cfRule>
    <cfRule type="expression" priority="8" aboveAverage="0" equalAverage="0" bottom="0" percent="0" rank="0" text="" dxfId="19">
      <formula>AND(ISNUMBER(S6),S6&gt;5,S6&lt;=10,Q6&lt;&gt;"Resolved")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161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162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18" t="s">
        <v>163</v>
      </c>
      <c r="B4" s="18"/>
      <c r="C4" s="18"/>
      <c r="D4" s="18"/>
      <c r="E4" s="18"/>
      <c r="F4" s="18"/>
    </row>
    <row r="5" customFormat="false" ht="36" hidden="false" customHeight="true" outlineLevel="0" collapsed="false">
      <c r="A5" s="11" t="s">
        <v>66</v>
      </c>
      <c r="B5" s="11" t="s">
        <v>164</v>
      </c>
      <c r="C5" s="11" t="s">
        <v>165</v>
      </c>
      <c r="D5" s="11" t="s">
        <v>17</v>
      </c>
      <c r="E5" s="11" t="s">
        <v>166</v>
      </c>
      <c r="F5" s="11" t="s">
        <v>167</v>
      </c>
    </row>
    <row r="6" customFormat="false" ht="25.5" hidden="false" customHeight="true" outlineLevel="0" collapsed="false">
      <c r="A6" s="19" t="s">
        <v>116</v>
      </c>
      <c r="B6" s="20" t="n">
        <f aca="false">COUNTIF('Blocked Items Log'!Q:Q,A6)</f>
        <v>1</v>
      </c>
      <c r="C6" s="20" t="n">
        <f aca="false">COUNTIFS('Blocked Items Log'!Q:Q,A6,'Blocked Items Log'!E:E,"External*")</f>
        <v>1</v>
      </c>
      <c r="D6" s="20" t="n">
        <f aca="false">COUNTIFS('Blocked Items Log'!Q:Q,A6,'Blocked Items Log'!E:E,"Internal")</f>
        <v>0</v>
      </c>
      <c r="E6" s="21" t="n">
        <f aca="false">IFERROR(AVERAGEIFS('Blocked Items Log'!S:S,'Blocked Items Log'!Q:Q,A6),0)</f>
        <v>23</v>
      </c>
      <c r="F6" s="22" t="s">
        <v>168</v>
      </c>
    </row>
    <row r="7" customFormat="false" ht="25.5" hidden="false" customHeight="true" outlineLevel="0" collapsed="false">
      <c r="A7" s="23" t="s">
        <v>101</v>
      </c>
      <c r="B7" s="24" t="n">
        <f aca="false">COUNTIF('Blocked Items Log'!Q:Q,A7)</f>
        <v>3</v>
      </c>
      <c r="C7" s="24" t="n">
        <f aca="false">COUNTIFS('Blocked Items Log'!Q:Q,A7,'Blocked Items Log'!E:E,"External*")</f>
        <v>2</v>
      </c>
      <c r="D7" s="24" t="n">
        <f aca="false">COUNTIFS('Blocked Items Log'!Q:Q,A7,'Blocked Items Log'!E:E,"Internal")</f>
        <v>1</v>
      </c>
      <c r="E7" s="25" t="n">
        <f aca="false">IFERROR(AVERAGEIFS('Blocked Items Log'!S:S,'Blocked Items Log'!Q:Q,A7),0)</f>
        <v>10</v>
      </c>
      <c r="F7" s="26" t="s">
        <v>169</v>
      </c>
    </row>
    <row r="8" customFormat="false" ht="25.5" hidden="false" customHeight="true" outlineLevel="0" collapsed="false">
      <c r="A8" s="27" t="s">
        <v>141</v>
      </c>
      <c r="B8" s="28" t="n">
        <f aca="false">COUNTIF('Blocked Items Log'!Q:Q,A8)</f>
        <v>1</v>
      </c>
      <c r="C8" s="28" t="n">
        <f aca="false">COUNTIFS('Blocked Items Log'!Q:Q,A8,'Blocked Items Log'!E:E,"External*")</f>
        <v>0</v>
      </c>
      <c r="D8" s="28" t="n">
        <f aca="false">COUNTIFS('Blocked Items Log'!Q:Q,A8,'Blocked Items Log'!E:E,"Internal")</f>
        <v>1</v>
      </c>
      <c r="E8" s="29" t="n">
        <f aca="false">IFERROR(AVERAGEIFS('Blocked Items Log'!S:S,'Blocked Items Log'!Q:Q,A8),0)</f>
        <v>9</v>
      </c>
      <c r="F8" s="30" t="s">
        <v>170</v>
      </c>
    </row>
    <row r="9" customFormat="false" ht="25.5" hidden="false" customHeight="true" outlineLevel="0" collapsed="false">
      <c r="A9" s="31" t="s">
        <v>158</v>
      </c>
      <c r="B9" s="32" t="n">
        <f aca="false">COUNTIF('Blocked Items Log'!Q:Q,A9)</f>
        <v>1</v>
      </c>
      <c r="C9" s="32" t="n">
        <f aca="false">COUNTIFS('Blocked Items Log'!Q:Q,A9,'Blocked Items Log'!E:E,"External*")</f>
        <v>0</v>
      </c>
      <c r="D9" s="32" t="n">
        <f aca="false">COUNTIFS('Blocked Items Log'!Q:Q,A9,'Blocked Items Log'!E:E,"Internal")</f>
        <v>1</v>
      </c>
      <c r="E9" s="33" t="n">
        <f aca="false">IFERROR(AVERAGEIFS('Blocked Items Log'!S:S,'Blocked Items Log'!Q:Q,A9),0)</f>
        <v>6</v>
      </c>
      <c r="F9" s="34" t="s">
        <v>171</v>
      </c>
    </row>
    <row r="11" customFormat="false" ht="24" hidden="false" customHeight="true" outlineLevel="0" collapsed="false">
      <c r="A11" s="18" t="s">
        <v>172</v>
      </c>
      <c r="B11" s="18"/>
      <c r="C11" s="18"/>
      <c r="D11" s="18"/>
      <c r="E11" s="18"/>
      <c r="F11" s="18"/>
    </row>
    <row r="12" customFormat="false" ht="36" hidden="false" customHeight="true" outlineLevel="0" collapsed="false">
      <c r="A12" s="11" t="s">
        <v>52</v>
      </c>
      <c r="B12" s="11" t="s">
        <v>173</v>
      </c>
      <c r="C12" s="11" t="s">
        <v>174</v>
      </c>
      <c r="D12" s="11" t="s">
        <v>116</v>
      </c>
      <c r="E12" s="11" t="s">
        <v>175</v>
      </c>
      <c r="F12" s="11"/>
    </row>
    <row r="13" customFormat="false" ht="24" hidden="false" customHeight="true" outlineLevel="0" collapsed="false">
      <c r="A13" s="5" t="s">
        <v>154</v>
      </c>
      <c r="B13" s="35" t="n">
        <f aca="false">COUNTIFS('Blocked Items Log'!C:C,A13,'Blocked Items Log'!Q:Q,"&lt;&gt;Resolved")</f>
        <v>0</v>
      </c>
      <c r="C13" s="35" t="n">
        <f aca="false">COUNTIFS('Blocked Items Log'!C:C,A13,'Blocked Items Log'!E:E,"External*",'Blocked Items Log'!Q:Q,"&lt;&gt;Resolved")</f>
        <v>0</v>
      </c>
      <c r="D13" s="35" t="n">
        <f aca="false">COUNTIFS('Blocked Items Log'!C:C,A13,'Blocked Items Log'!Q:Q,"Escalated")</f>
        <v>0</v>
      </c>
      <c r="E13" s="35" t="n">
        <f aca="false">IFERROR(maxifs('Blocked Items Log'!S:S,'Blocked Items Log'!C:C,A13,'Blocked Items Log'!Q:Q,"&lt;&gt;Resolved"),0)</f>
        <v>0</v>
      </c>
      <c r="F13" s="5"/>
    </row>
    <row r="14" customFormat="false" ht="24" hidden="false" customHeight="true" outlineLevel="0" collapsed="false">
      <c r="A14" s="7" t="s">
        <v>132</v>
      </c>
      <c r="B14" s="36" t="n">
        <f aca="false">COUNTIFS('Blocked Items Log'!C:C,A14,'Blocked Items Log'!Q:Q,"&lt;&gt;Resolved")</f>
        <v>2</v>
      </c>
      <c r="C14" s="36" t="n">
        <f aca="false">COUNTIFS('Blocked Items Log'!C:C,A14,'Blocked Items Log'!E:E,"External*",'Blocked Items Log'!Q:Q,"&lt;&gt;Resolved")</f>
        <v>1</v>
      </c>
      <c r="D14" s="36" t="n">
        <f aca="false">COUNTIFS('Blocked Items Log'!C:C,A14,'Blocked Items Log'!Q:Q,"Escalated")</f>
        <v>0</v>
      </c>
      <c r="E14" s="36" t="n">
        <f aca="false">IFERROR(maxifs('Blocked Items Log'!S:S,'Blocked Items Log'!C:C,A14,'Blocked Items Log'!Q:Q,"&lt;&gt;Resolved"),0)</f>
        <v>0</v>
      </c>
      <c r="F14" s="7"/>
    </row>
    <row r="15" customFormat="false" ht="24" hidden="false" customHeight="true" outlineLevel="0" collapsed="false">
      <c r="A15" s="5" t="s">
        <v>105</v>
      </c>
      <c r="B15" s="35" t="n">
        <f aca="false">COUNTIFS('Blocked Items Log'!C:C,A15,'Blocked Items Log'!Q:Q,"&lt;&gt;Resolved")</f>
        <v>1</v>
      </c>
      <c r="C15" s="35" t="n">
        <f aca="false">COUNTIFS('Blocked Items Log'!C:C,A15,'Blocked Items Log'!E:E,"External*",'Blocked Items Log'!Q:Q,"&lt;&gt;Resolved")</f>
        <v>1</v>
      </c>
      <c r="D15" s="35" t="n">
        <f aca="false">COUNTIFS('Blocked Items Log'!C:C,A15,'Blocked Items Log'!Q:Q,"Escalated")</f>
        <v>1</v>
      </c>
      <c r="E15" s="35" t="n">
        <f aca="false">IFERROR(maxifs('Blocked Items Log'!S:S,'Blocked Items Log'!C:C,A15,'Blocked Items Log'!Q:Q,"&lt;&gt;Resolved"),0)</f>
        <v>0</v>
      </c>
      <c r="F15" s="5"/>
    </row>
    <row r="16" customFormat="false" ht="24" hidden="false" customHeight="true" outlineLevel="0" collapsed="false">
      <c r="A16" s="7" t="s">
        <v>120</v>
      </c>
      <c r="B16" s="36" t="n">
        <f aca="false">COUNTIFS('Blocked Items Log'!C:C,A16,'Blocked Items Log'!Q:Q,"&lt;&gt;Resolved")</f>
        <v>1</v>
      </c>
      <c r="C16" s="36" t="n">
        <f aca="false">COUNTIFS('Blocked Items Log'!C:C,A16,'Blocked Items Log'!E:E,"External*",'Blocked Items Log'!Q:Q,"&lt;&gt;Resolved")</f>
        <v>1</v>
      </c>
      <c r="D16" s="36" t="n">
        <f aca="false">COUNTIFS('Blocked Items Log'!C:C,A16,'Blocked Items Log'!Q:Q,"Escalated")</f>
        <v>0</v>
      </c>
      <c r="E16" s="36" t="n">
        <f aca="false">IFERROR(maxifs('Blocked Items Log'!S:S,'Blocked Items Log'!C:C,A16,'Blocked Items Log'!Q:Q,"&lt;&gt;Resolved"),0)</f>
        <v>0</v>
      </c>
      <c r="F16" s="7"/>
    </row>
    <row r="17" customFormat="false" ht="24" hidden="false" customHeight="true" outlineLevel="0" collapsed="false">
      <c r="A17" s="5" t="s">
        <v>176</v>
      </c>
      <c r="B17" s="35" t="n">
        <f aca="false">COUNTIFS('Blocked Items Log'!C:C,A17,'Blocked Items Log'!Q:Q,"&lt;&gt;Resolved")</f>
        <v>0</v>
      </c>
      <c r="C17" s="35" t="n">
        <f aca="false">COUNTIFS('Blocked Items Log'!C:C,A17,'Blocked Items Log'!E:E,"External*",'Blocked Items Log'!Q:Q,"&lt;&gt;Resolved")</f>
        <v>0</v>
      </c>
      <c r="D17" s="35" t="n">
        <f aca="false">COUNTIFS('Blocked Items Log'!C:C,A17,'Blocked Items Log'!Q:Q,"Escalated")</f>
        <v>0</v>
      </c>
      <c r="E17" s="35" t="n">
        <f aca="false">IFERROR(maxifs('Blocked Items Log'!S:S,'Blocked Items Log'!C:C,A17,'Blocked Items Log'!Q:Q,"&lt;&gt;Resolved"),0)</f>
        <v>0</v>
      </c>
      <c r="F17" s="5"/>
    </row>
    <row r="18" customFormat="false" ht="24" hidden="false" customHeight="true" outlineLevel="0" collapsed="false">
      <c r="A18" s="7" t="s">
        <v>177</v>
      </c>
      <c r="B18" s="36" t="n">
        <f aca="false">COUNTIFS('Blocked Items Log'!C:C,A18,'Blocked Items Log'!Q:Q,"&lt;&gt;Resolved")</f>
        <v>0</v>
      </c>
      <c r="C18" s="36" t="n">
        <f aca="false">COUNTIFS('Blocked Items Log'!C:C,A18,'Blocked Items Log'!E:E,"External*",'Blocked Items Log'!Q:Q,"&lt;&gt;Resolved")</f>
        <v>0</v>
      </c>
      <c r="D18" s="36" t="n">
        <f aca="false">COUNTIFS('Blocked Items Log'!C:C,A18,'Blocked Items Log'!Q:Q,"Escalated")</f>
        <v>0</v>
      </c>
      <c r="E18" s="36" t="n">
        <f aca="false">IFERROR(maxifs('Blocked Items Log'!S:S,'Blocked Items Log'!C:C,A18,'Blocked Items Log'!Q:Q,"&lt;&gt;Resolved"),0)</f>
        <v>0</v>
      </c>
      <c r="F18" s="7"/>
    </row>
    <row r="20" customFormat="false" ht="24" hidden="false" customHeight="true" outlineLevel="0" collapsed="false">
      <c r="A20" s="37" t="s">
        <v>178</v>
      </c>
      <c r="B20" s="37"/>
      <c r="C20" s="37"/>
      <c r="D20" s="37"/>
      <c r="E20" s="37"/>
      <c r="F20" s="37"/>
    </row>
    <row r="21" customFormat="false" ht="27.75" hidden="false" customHeight="true" outlineLevel="0" collapsed="false">
      <c r="A21" s="11" t="s">
        <v>179</v>
      </c>
      <c r="B21" s="11" t="s">
        <v>52</v>
      </c>
      <c r="C21" s="11" t="s">
        <v>180</v>
      </c>
      <c r="D21" s="11" t="s">
        <v>181</v>
      </c>
      <c r="E21" s="11" t="s">
        <v>182</v>
      </c>
      <c r="F21" s="11" t="s">
        <v>66</v>
      </c>
    </row>
    <row r="22" customFormat="false" ht="27.75" hidden="false" customHeight="true" outlineLevel="0" collapsed="false">
      <c r="A22" s="19" t="str">
        <f aca="false">IFERROR(INDEX('Blocked Items Log'!A:A,MATCH(1,('Blocked Items Log'!N$6:N$500="Yes")*('Blocked Items Log'!Q$6:Q$500&lt;&gt;"Resolved"),0)+4),"—")</f>
        <v>▶ COPY THIS ROW — fill in all non-AUTO fields</v>
      </c>
      <c r="B22" s="22"/>
      <c r="C22" s="22"/>
      <c r="D22" s="22"/>
      <c r="E22" s="22"/>
      <c r="F22" s="22"/>
    </row>
    <row r="23" customFormat="false" ht="27.75" hidden="false" customHeight="true" outlineLevel="0" collapsed="false">
      <c r="A23" s="38" t="str">
        <f aca="false">IFERROR(INDEX('Blocked Items Log'!A:A,MATCH(1,('Blocked Items Log'!N$6:N$500="Yes")*('Blocked Items Log'!Q$6:Q$500&lt;&gt;"Resolved"),0)+5),"—")</f>
        <v>BL-001</v>
      </c>
      <c r="B23" s="39"/>
      <c r="C23" s="39"/>
      <c r="D23" s="39"/>
      <c r="E23" s="39"/>
      <c r="F23" s="39"/>
    </row>
    <row r="24" customFormat="false" ht="27.75" hidden="false" customHeight="true" outlineLevel="0" collapsed="false">
      <c r="A24" s="19" t="str">
        <f aca="false">IFERROR(INDEX('Blocked Items Log'!A:A,MATCH(1,('Blocked Items Log'!N$6:N$500="Yes")*('Blocked Items Log'!Q$6:Q$500&lt;&gt;"Resolved"),0)+6),"—")</f>
        <v>BL-002</v>
      </c>
      <c r="B24" s="22"/>
      <c r="C24" s="22"/>
      <c r="D24" s="22"/>
      <c r="E24" s="22"/>
      <c r="F24" s="22"/>
    </row>
    <row r="25" customFormat="false" ht="27.75" hidden="false" customHeight="true" outlineLevel="0" collapsed="false">
      <c r="A25" s="38" t="str">
        <f aca="false">IFERROR(INDEX('Blocked Items Log'!A:A,MATCH(1,('Blocked Items Log'!N$6:N$500="Yes")*('Blocked Items Log'!Q$6:Q$500&lt;&gt;"Resolved"),0)+7),"—")</f>
        <v>BL-003</v>
      </c>
      <c r="B25" s="39"/>
      <c r="C25" s="39"/>
      <c r="D25" s="39"/>
      <c r="E25" s="39"/>
      <c r="F25" s="39"/>
    </row>
  </sheetData>
  <mergeCells count="5">
    <mergeCell ref="A1:F1"/>
    <mergeCell ref="A2:F2"/>
    <mergeCell ref="A4:F4"/>
    <mergeCell ref="A11:F11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2026-06-24T01:58:04Z</dcterms:created>
  <dc:creator>openpyxl</dc:creator>
  <dc:description/>
  <dc:language>en-US</dc:language>
  <cp:lastModifiedBy/>
  <dcterms:modified xsi:type="dcterms:W3CDTF">2026-06-24T01:58:04Z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