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hange Log" sheetId="2" state="visible" r:id="rId4"/>
    <sheet name="Chang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<sst xmlns="http://schemas.openxmlformats.org/spreadsheetml/2006/main" count="176" uniqueCount="143">
  <si>
    <t xml:space="preserve">CHANGE LOG — INSTRUCTIONS &amp; FIELD DEFINITIONS</t>
  </si>
  <si>
    <t xml:space="preserve">v2.0 Program  •  Owner: Program Management  •  All contract changes must be logged at point of occurrence</t>
  </si>
  <si>
    <t xml:space="preserve">FIELD</t>
  </si>
  <si>
    <t xml:space="preserve">DEFINITION</t>
  </si>
  <si>
    <t xml:space="preserve">ACCEPTED VALUES / GUIDANCE</t>
  </si>
  <si>
    <t xml:space="preserve">Change ID</t>
  </si>
  <si>
    <t xml:space="preserve">Unique identifier. Format: CR-XXX (e.g., CR-001). Never reuse.</t>
  </si>
  <si>
    <t xml:space="preserve">CR-001, CR-002 …</t>
  </si>
  <si>
    <t xml:space="preserve">Date Submitted</t>
  </si>
  <si>
    <t xml:space="preserve">Date the change was first formally identified or requested.</t>
  </si>
  <si>
    <t xml:space="preserve">MM/DD/YYYY</t>
  </si>
  <si>
    <t xml:space="preserve">Date Approved/Rejected</t>
  </si>
  <si>
    <t xml:space="preserve">Date a decision was made on this change request.</t>
  </si>
  <si>
    <t xml:space="preserve">MM/DD/YYYY or Pending</t>
  </si>
  <si>
    <t xml:space="preserve">Change Title</t>
  </si>
  <si>
    <t xml:space="preserve">Short descriptive title (≤10 words).</t>
  </si>
  <si>
    <t xml:space="preserve">Free text</t>
  </si>
  <si>
    <t xml:space="preserve">Change Description</t>
  </si>
  <si>
    <t xml:space="preserve">Full narrative of what is changing and why it is necessary.</t>
  </si>
  <si>
    <t xml:space="preserve">Be specific — include root cause and triggering event</t>
  </si>
  <si>
    <t xml:space="preserve">Change Type</t>
  </si>
  <si>
    <t xml:space="preserve">Classification of the change.</t>
  </si>
  <si>
    <t xml:space="preserve">Scope / Schedule / Cost / Technical / Contractual / Personnel / Process</t>
  </si>
  <si>
    <t xml:space="preserve">Initiated By</t>
  </si>
  <si>
    <t xml:space="preserve">Who identified or requested the change.</t>
  </si>
  <si>
    <t xml:space="preserve">Government Customer / PM / Tech Lead / Security Lead / Contracting Officer / Other</t>
  </si>
  <si>
    <t xml:space="preserve">Branch Impacted</t>
  </si>
  <si>
    <t xml:space="preserve">Which functional branch(es) does this change affect.</t>
  </si>
  <si>
    <t xml:space="preserve">One or more of the six branches</t>
  </si>
  <si>
    <t xml:space="preserve">Cost Impact ($)</t>
  </si>
  <si>
    <t xml:space="preserve">Estimated dollar impact. Use 0 if none. Negative = savings.</t>
  </si>
  <si>
    <t xml:space="preserve">Dollar value — positive = cost increase</t>
  </si>
  <si>
    <t xml:space="preserve">Schedule Impact (days)</t>
  </si>
  <si>
    <t xml:space="preserve">Number of calendar days the program schedule is affected. 0 if none.</t>
  </si>
  <si>
    <t xml:space="preserve">Integer — positive = delay, negative = acceleration</t>
  </si>
  <si>
    <t xml:space="preserve">Scope Impact</t>
  </si>
  <si>
    <t xml:space="preserve">Narrative description of how program scope is affected, if at all.</t>
  </si>
  <si>
    <t xml:space="preserve">Free text or 'None'</t>
  </si>
  <si>
    <t xml:space="preserve">Decision Authority</t>
  </si>
  <si>
    <t xml:space="preserve">Who has authority to approve this change.</t>
  </si>
  <si>
    <t xml:space="preserve">PM / Corporate Leadership / Contracting Officer / Government COR / Government CO</t>
  </si>
  <si>
    <t xml:space="preserve">Status</t>
  </si>
  <si>
    <t xml:space="preserve">Current disposition of the change request.</t>
  </si>
  <si>
    <t xml:space="preserve">Pending / Approved / Rejected / On Hold / Implemented</t>
  </si>
  <si>
    <t xml:space="preserve">Approved By</t>
  </si>
  <si>
    <t xml:space="preserve">Name and title of person who formally approved or rejected.</t>
  </si>
  <si>
    <t xml:space="preserve">Full name + title</t>
  </si>
  <si>
    <t xml:space="preserve">Contract Mod Required</t>
  </si>
  <si>
    <t xml:space="preserve">Does this change require a formal contract modification?</t>
  </si>
  <si>
    <t xml:space="preserve">Yes / No / Under Review</t>
  </si>
  <si>
    <t xml:space="preserve">Mod Number</t>
  </si>
  <si>
    <t xml:space="preserve">If a contract modification was executed, record the mod number here.</t>
  </si>
  <si>
    <t xml:space="preserve">MOD-001 format or N/A</t>
  </si>
  <si>
    <t xml:space="preserve">Implementation Date</t>
  </si>
  <si>
    <t xml:space="preserve">Date the change was or will be implemented.</t>
  </si>
  <si>
    <t xml:space="preserve">MM/DD/YYYY or TBD</t>
  </si>
  <si>
    <t xml:space="preserve">Related Risk ID</t>
  </si>
  <si>
    <t xml:space="preserve">If this change was triggered by or creates a risk, link to the Risk Register.</t>
  </si>
  <si>
    <t xml:space="preserve">R-001 format or N/A</t>
  </si>
  <si>
    <t xml:space="preserve">Notes</t>
  </si>
  <si>
    <t xml:space="preserve">Additional context, decisions, links to supporting documentation.</t>
  </si>
  <si>
    <t xml:space="preserve">PROGRAM CHANGE LOG</t>
  </si>
  <si>
    <t xml:space="preserve">v2.0 Program  •  Owner: Program Management  •  Log changes at point of occurrence — do not batch</t>
  </si>
  <si>
    <t xml:space="preserve">Date
Submitted</t>
  </si>
  <si>
    <t xml:space="preserve">Date
Approved/
Rejected</t>
  </si>
  <si>
    <t xml:space="preserve">Change
Type</t>
  </si>
  <si>
    <t xml:space="preserve">Branch
Impacted</t>
  </si>
  <si>
    <t xml:space="preserve">Cost Impact
($)</t>
  </si>
  <si>
    <t xml:space="preserve">Schedule
Impact (days)</t>
  </si>
  <si>
    <t xml:space="preserve">Decision
Authority</t>
  </si>
  <si>
    <t xml:space="preserve">Contract
Mod
Required</t>
  </si>
  <si>
    <t xml:space="preserve">Mod
Number</t>
  </si>
  <si>
    <t xml:space="preserve">Implementation
Date</t>
  </si>
  <si>
    <t xml:space="preserve">Related
Risk ID</t>
  </si>
  <si>
    <t xml:space="preserve">CR-001</t>
  </si>
  <si>
    <t xml:space="preserve">06/01/2026</t>
  </si>
  <si>
    <t xml:space="preserve">06/10/2026</t>
  </si>
  <si>
    <t xml:space="preserve">Scope Addition: Mobile Responsive UI</t>
  </si>
  <si>
    <t xml:space="preserve">Government customer requested mobile-responsive interface for field users. Not included in original SOW. Requires additional front-end development effort.</t>
  </si>
  <si>
    <t xml:space="preserve">Scope</t>
  </si>
  <si>
    <t xml:space="preserve">Government Customer</t>
  </si>
  <si>
    <t xml:space="preserve">2.0 Software Development</t>
  </si>
  <si>
    <t xml:space="preserve">Addition of mobile UI layer across all existing features. Estimated 3-sprint effort.</t>
  </si>
  <si>
    <t xml:space="preserve">Contracting Officer</t>
  </si>
  <si>
    <t xml:space="preserve">Approved</t>
  </si>
  <si>
    <t xml:space="preserve">Jane Smith, CO</t>
  </si>
  <si>
    <t xml:space="preserve">Yes</t>
  </si>
  <si>
    <t xml:space="preserve">MOD-001</t>
  </si>
  <si>
    <t xml:space="preserve">08/15/2026</t>
  </si>
  <si>
    <t xml:space="preserve">R-002</t>
  </si>
  <si>
    <t xml:space="preserve">MOD-001 executed 06/10. Sprint planning updated.</t>
  </si>
  <si>
    <t xml:space="preserve">CR-002</t>
  </si>
  <si>
    <t xml:space="preserve">06/08/2026</t>
  </si>
  <si>
    <t xml:space="preserve">Pending</t>
  </si>
  <si>
    <t xml:space="preserve">ATO Timeline Extension Request</t>
  </si>
  <si>
    <t xml:space="preserve">STIG remediation findings are taking longer than planned. Requesting 30-day extension to ATO submission deadline to ensure complete remediation.</t>
  </si>
  <si>
    <t xml:space="preserve">Schedule</t>
  </si>
  <si>
    <t xml:space="preserve">Security Lead</t>
  </si>
  <si>
    <t xml:space="preserve">3.0 Security &amp; Compliance</t>
  </si>
  <si>
    <t xml:space="preserve">No scope change. Schedule impact only on ATO submission milestone.</t>
  </si>
  <si>
    <t xml:space="preserve">Government COR</t>
  </si>
  <si>
    <t xml:space="preserve">—</t>
  </si>
  <si>
    <t xml:space="preserve">No</t>
  </si>
  <si>
    <t xml:space="preserve">N/A</t>
  </si>
  <si>
    <t xml:space="preserve">TBD</t>
  </si>
  <si>
    <t xml:space="preserve">R-001</t>
  </si>
  <si>
    <t xml:space="preserve">Submitted to COR 06/08. Awaiting response.</t>
  </si>
  <si>
    <t xml:space="preserve">CR-003</t>
  </si>
  <si>
    <t xml:space="preserve">06/15/2026</t>
  </si>
  <si>
    <t xml:space="preserve">06/18/2026</t>
  </si>
  <si>
    <t xml:space="preserve">Personnel Change: Replace 1099 Dev SME</t>
  </si>
  <si>
    <t xml:space="preserve">Senior developer transitioning off contract. Replacement identified. Knowledge transfer period required before full productivity.</t>
  </si>
  <si>
    <t xml:space="preserve">Personnel</t>
  </si>
  <si>
    <t xml:space="preserve">PM</t>
  </si>
  <si>
    <t xml:space="preserve">No scope change. Temporary velocity reduction during knowledge transfer.</t>
  </si>
  <si>
    <t xml:space="preserve">Bri [PM], Program Lead</t>
  </si>
  <si>
    <t xml:space="preserve">07/01/2026</t>
  </si>
  <si>
    <t xml:space="preserve">R-004</t>
  </si>
  <si>
    <t xml:space="preserve">KT sessions scheduled 06/20–07/01. New resource onboarded.</t>
  </si>
  <si>
    <t xml:space="preserve">CR-004</t>
  </si>
  <si>
    <t xml:space="preserve">06/20/2026</t>
  </si>
  <si>
    <t xml:space="preserve">GFE Procurement Path Change</t>
  </si>
  <si>
    <t xml:space="preserve">Original GFE procurement path is blocked. Government exploring alternate equipment source. May require environment reconfiguration.</t>
  </si>
  <si>
    <t xml:space="preserve">Technical</t>
  </si>
  <si>
    <t xml:space="preserve">4.0 Infra &amp; Environment</t>
  </si>
  <si>
    <t xml:space="preserve">Potential reconfiguration of dev/test/prod environment if alternate GFE has different specs.</t>
  </si>
  <si>
    <t xml:space="preserve">Under Review</t>
  </si>
  <si>
    <t xml:space="preserve">R-003</t>
  </si>
  <si>
    <t xml:space="preserve">Infra lead assessing alternate GFE specs. Decision expected 07/01.</t>
  </si>
  <si>
    <t xml:space="preserve">CHANGE LOG SUMMARY DASHBOARD</t>
  </si>
  <si>
    <t xml:space="preserve">Auto-calculated from Change Log tab  •  Do not edit this sheet directly</t>
  </si>
  <si>
    <t xml:space="preserve">CHANGES BY STATUS</t>
  </si>
  <si>
    <t xml:space="preserve">Count</t>
  </si>
  <si>
    <t xml:space="preserve">Total Cost Impact ($)</t>
  </si>
  <si>
    <t xml:space="preserve">Total Schedule Impact (days)</t>
  </si>
  <si>
    <t xml:space="preserve">Rejected</t>
  </si>
  <si>
    <t xml:space="preserve">On Hold</t>
  </si>
  <si>
    <t xml:space="preserve">Implemented</t>
  </si>
  <si>
    <t xml:space="preserve">TOTAL</t>
  </si>
  <si>
    <t xml:space="preserve">CHANGES BY TYPE</t>
  </si>
  <si>
    <t xml:space="preserve">Cost</t>
  </si>
  <si>
    <t xml:space="preserve">Contractual</t>
  </si>
  <si>
    <t xml:space="preserve">Process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</si>
</sst>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D8A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CCCC"/>
      </patternFill>
    </fill>
    <fill>
      <patternFill patternType="solid">
        <fgColor rgb="FFFFCCCC"/>
        <bgColor rgb="FFCCCC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CCC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4D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4" t="s">
        <v>6</v>
      </c>
      <c r="C5" s="4" t="s">
        <v>7</v>
      </c>
    </row>
    <row r="6" customFormat="false" ht="30" hidden="false" customHeight="true" outlineLevel="0" collapsed="false">
      <c r="A6" s="5" t="s">
        <v>8</v>
      </c>
      <c r="B6" s="5" t="s">
        <v>9</v>
      </c>
      <c r="C6" s="5" t="s">
        <v>10</v>
      </c>
    </row>
    <row r="7" customFormat="false" ht="30" hidden="false" customHeight="true" outlineLevel="0" collapsed="false">
      <c r="A7" s="4" t="s">
        <v>11</v>
      </c>
      <c r="B7" s="4" t="s">
        <v>12</v>
      </c>
      <c r="C7" s="4" t="s">
        <v>13</v>
      </c>
    </row>
    <row r="8" customFormat="false" ht="30" hidden="false" customHeight="true" outlineLevel="0" collapsed="false">
      <c r="A8" s="5" t="s">
        <v>14</v>
      </c>
      <c r="B8" s="5" t="s">
        <v>15</v>
      </c>
      <c r="C8" s="5" t="s">
        <v>16</v>
      </c>
    </row>
    <row r="9" customFormat="false" ht="30" hidden="false" customHeight="true" outlineLevel="0" collapsed="false">
      <c r="A9" s="4" t="s">
        <v>17</v>
      </c>
      <c r="B9" s="4" t="s">
        <v>18</v>
      </c>
      <c r="C9" s="4" t="s">
        <v>19</v>
      </c>
    </row>
    <row r="10" customFormat="false" ht="30" hidden="false" customHeight="true" outlineLevel="0" collapsed="false">
      <c r="A10" s="5" t="s">
        <v>20</v>
      </c>
      <c r="B10" s="5" t="s">
        <v>21</v>
      </c>
      <c r="C10" s="5" t="s">
        <v>22</v>
      </c>
    </row>
    <row r="11" customFormat="false" ht="30" hidden="false" customHeight="true" outlineLevel="0" collapsed="false">
      <c r="A11" s="4" t="s">
        <v>23</v>
      </c>
      <c r="B11" s="4" t="s">
        <v>24</v>
      </c>
      <c r="C11" s="4" t="s">
        <v>25</v>
      </c>
    </row>
    <row r="12" customFormat="false" ht="30" hidden="false" customHeight="true" outlineLevel="0" collapsed="false">
      <c r="A12" s="5" t="s">
        <v>26</v>
      </c>
      <c r="B12" s="5" t="s">
        <v>27</v>
      </c>
      <c r="C12" s="5" t="s">
        <v>28</v>
      </c>
    </row>
    <row r="13" customFormat="false" ht="30" hidden="false" customHeight="true" outlineLevel="0" collapsed="false">
      <c r="A13" s="4" t="s">
        <v>29</v>
      </c>
      <c r="B13" s="4" t="s">
        <v>30</v>
      </c>
      <c r="C13" s="4" t="s">
        <v>31</v>
      </c>
    </row>
    <row r="14" customFormat="false" ht="30" hidden="false" customHeight="true" outlineLevel="0" collapsed="false">
      <c r="A14" s="5" t="s">
        <v>32</v>
      </c>
      <c r="B14" s="5" t="s">
        <v>33</v>
      </c>
      <c r="C14" s="5" t="s">
        <v>34</v>
      </c>
    </row>
    <row r="15" customFormat="false" ht="30" hidden="false" customHeight="true" outlineLevel="0" collapsed="false">
      <c r="A15" s="4" t="s">
        <v>35</v>
      </c>
      <c r="B15" s="4" t="s">
        <v>36</v>
      </c>
      <c r="C15" s="4" t="s">
        <v>37</v>
      </c>
    </row>
    <row r="16" customFormat="false" ht="30" hidden="false" customHeight="true" outlineLevel="0" collapsed="false">
      <c r="A16" s="5" t="s">
        <v>38</v>
      </c>
      <c r="B16" s="5" t="s">
        <v>39</v>
      </c>
      <c r="C16" s="5" t="s">
        <v>40</v>
      </c>
    </row>
    <row r="17" customFormat="false" ht="30" hidden="false" customHeight="true" outlineLevel="0" collapsed="false">
      <c r="A17" s="4" t="s">
        <v>41</v>
      </c>
      <c r="B17" s="4" t="s">
        <v>42</v>
      </c>
      <c r="C17" s="4" t="s">
        <v>43</v>
      </c>
    </row>
    <row r="18" customFormat="false" ht="30" hidden="false" customHeight="true" outlineLevel="0" collapsed="false">
      <c r="A18" s="5" t="s">
        <v>44</v>
      </c>
      <c r="B18" s="5" t="s">
        <v>45</v>
      </c>
      <c r="C18" s="5" t="s">
        <v>46</v>
      </c>
    </row>
    <row r="19" customFormat="false" ht="30" hidden="false" customHeight="true" outlineLevel="0" collapsed="false">
      <c r="A19" s="4" t="s">
        <v>47</v>
      </c>
      <c r="B19" s="4" t="s">
        <v>48</v>
      </c>
      <c r="C19" s="4" t="s">
        <v>49</v>
      </c>
    </row>
    <row r="20" customFormat="false" ht="30" hidden="false" customHeight="true" outlineLevel="0" collapsed="false">
      <c r="A20" s="5" t="s">
        <v>50</v>
      </c>
      <c r="B20" s="5" t="s">
        <v>51</v>
      </c>
      <c r="C20" s="5" t="s">
        <v>52</v>
      </c>
    </row>
    <row r="21" customFormat="false" ht="30" hidden="false" customHeight="true" outlineLevel="0" collapsed="false">
      <c r="A21" s="4" t="s">
        <v>53</v>
      </c>
      <c r="B21" s="4" t="s">
        <v>54</v>
      </c>
      <c r="C21" s="4" t="s">
        <v>55</v>
      </c>
    </row>
    <row r="22" customFormat="false" ht="30" hidden="false" customHeight="true" outlineLevel="0" collapsed="false">
      <c r="A22" s="5" t="s">
        <v>56</v>
      </c>
      <c r="B22" s="5" t="s">
        <v>57</v>
      </c>
      <c r="C22" s="5" t="s">
        <v>58</v>
      </c>
    </row>
    <row r="23" customFormat="false" ht="30" hidden="false" customHeight="true" outlineLevel="0" collapsed="false">
      <c r="A23" s="4" t="s">
        <v>59</v>
      </c>
      <c r="B23" s="4" t="s">
        <v>60</v>
      </c>
      <c r="C23" s="4" t="s">
        <v>16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10" min="9" style="0" width="14"/>
    <col collapsed="false" customWidth="true" hidden="false" outlineLevel="0" max="11" min="11" style="0" width="36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6" min="15" style="0" width="12"/>
    <col collapsed="false" customWidth="true" hidden="false" outlineLevel="0" max="17" min="17" style="0" width="16"/>
    <col collapsed="false" customWidth="true" hidden="false" outlineLevel="0" max="18" min="18" style="0" width="12"/>
    <col collapsed="false" customWidth="true" hidden="false" outlineLevel="0" max="19" min="19" style="0" width="36"/>
  </cols>
  <sheetData>
    <row r="1" customFormat="false" ht="36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48" hidden="false" customHeight="true" outlineLevel="0" collapsed="false">
      <c r="A3" s="6" t="s">
        <v>5</v>
      </c>
      <c r="B3" s="6" t="s">
        <v>63</v>
      </c>
      <c r="C3" s="6" t="s">
        <v>64</v>
      </c>
      <c r="D3" s="6" t="s">
        <v>14</v>
      </c>
      <c r="E3" s="6" t="s">
        <v>17</v>
      </c>
      <c r="F3" s="6" t="s">
        <v>65</v>
      </c>
      <c r="G3" s="6" t="s">
        <v>23</v>
      </c>
      <c r="H3" s="6" t="s">
        <v>66</v>
      </c>
      <c r="I3" s="6" t="s">
        <v>67</v>
      </c>
      <c r="J3" s="6" t="s">
        <v>68</v>
      </c>
      <c r="K3" s="6" t="s">
        <v>35</v>
      </c>
      <c r="L3" s="6" t="s">
        <v>69</v>
      </c>
      <c r="M3" s="6" t="s">
        <v>41</v>
      </c>
      <c r="N3" s="6" t="s">
        <v>44</v>
      </c>
      <c r="O3" s="6" t="s">
        <v>70</v>
      </c>
      <c r="P3" s="6" t="s">
        <v>71</v>
      </c>
      <c r="Q3" s="6" t="s">
        <v>72</v>
      </c>
      <c r="R3" s="6" t="s">
        <v>73</v>
      </c>
      <c r="S3" s="6" t="s">
        <v>59</v>
      </c>
    </row>
    <row r="4" customFormat="false" ht="49.5" hidden="false" customHeight="true" outlineLevel="0" collapsed="false">
      <c r="A4" s="7" t="s">
        <v>74</v>
      </c>
      <c r="B4" s="7" t="s">
        <v>75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80</v>
      </c>
      <c r="H4" s="7" t="s">
        <v>81</v>
      </c>
      <c r="I4" s="7" t="n">
        <v>45000</v>
      </c>
      <c r="J4" s="7" t="n">
        <v>21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  <c r="P4" s="7" t="s">
        <v>87</v>
      </c>
      <c r="Q4" s="7" t="s">
        <v>88</v>
      </c>
      <c r="R4" s="7" t="s">
        <v>89</v>
      </c>
      <c r="S4" s="7" t="s">
        <v>90</v>
      </c>
    </row>
    <row r="5" customFormat="false" ht="49.5" hidden="false" customHeight="true" outlineLevel="0" collapsed="false">
      <c r="A5" s="8" t="s">
        <v>91</v>
      </c>
      <c r="B5" s="8" t="s">
        <v>92</v>
      </c>
      <c r="C5" s="8" t="s">
        <v>93</v>
      </c>
      <c r="D5" s="8" t="s">
        <v>94</v>
      </c>
      <c r="E5" s="8" t="s">
        <v>95</v>
      </c>
      <c r="F5" s="8" t="s">
        <v>96</v>
      </c>
      <c r="G5" s="8" t="s">
        <v>97</v>
      </c>
      <c r="H5" s="8" t="s">
        <v>98</v>
      </c>
      <c r="I5" s="8" t="n">
        <v>0</v>
      </c>
      <c r="J5" s="8" t="n">
        <v>30</v>
      </c>
      <c r="K5" s="8" t="s">
        <v>99</v>
      </c>
      <c r="L5" s="8" t="s">
        <v>100</v>
      </c>
      <c r="M5" s="8" t="s">
        <v>93</v>
      </c>
      <c r="N5" s="8" t="s">
        <v>101</v>
      </c>
      <c r="O5" s="8" t="s">
        <v>102</v>
      </c>
      <c r="P5" s="8" t="s">
        <v>103</v>
      </c>
      <c r="Q5" s="8" t="s">
        <v>104</v>
      </c>
      <c r="R5" s="8" t="s">
        <v>105</v>
      </c>
      <c r="S5" s="8" t="s">
        <v>106</v>
      </c>
    </row>
    <row r="6" customFormat="false" ht="49.5" hidden="false" customHeight="true" outlineLevel="0" collapsed="false">
      <c r="A6" s="7" t="s">
        <v>107</v>
      </c>
      <c r="B6" s="7" t="s">
        <v>108</v>
      </c>
      <c r="C6" s="7" t="s">
        <v>109</v>
      </c>
      <c r="D6" s="7" t="s">
        <v>110</v>
      </c>
      <c r="E6" s="7" t="s">
        <v>111</v>
      </c>
      <c r="F6" s="7" t="s">
        <v>112</v>
      </c>
      <c r="G6" s="7" t="s">
        <v>113</v>
      </c>
      <c r="H6" s="7" t="s">
        <v>81</v>
      </c>
      <c r="I6" s="7" t="n">
        <v>8000</v>
      </c>
      <c r="J6" s="7" t="n">
        <v>14</v>
      </c>
      <c r="K6" s="7" t="s">
        <v>114</v>
      </c>
      <c r="L6" s="7" t="s">
        <v>113</v>
      </c>
      <c r="M6" s="7" t="s">
        <v>84</v>
      </c>
      <c r="N6" s="7" t="s">
        <v>115</v>
      </c>
      <c r="O6" s="7" t="s">
        <v>102</v>
      </c>
      <c r="P6" s="7" t="s">
        <v>103</v>
      </c>
      <c r="Q6" s="7" t="s">
        <v>116</v>
      </c>
      <c r="R6" s="7" t="s">
        <v>117</v>
      </c>
      <c r="S6" s="7" t="s">
        <v>118</v>
      </c>
    </row>
    <row r="7" customFormat="false" ht="49.5" hidden="false" customHeight="true" outlineLevel="0" collapsed="false">
      <c r="A7" s="8" t="s">
        <v>119</v>
      </c>
      <c r="B7" s="8" t="s">
        <v>120</v>
      </c>
      <c r="C7" s="8" t="s">
        <v>93</v>
      </c>
      <c r="D7" s="8" t="s">
        <v>121</v>
      </c>
      <c r="E7" s="8" t="s">
        <v>122</v>
      </c>
      <c r="F7" s="8" t="s">
        <v>123</v>
      </c>
      <c r="G7" s="8" t="s">
        <v>80</v>
      </c>
      <c r="H7" s="8" t="s">
        <v>124</v>
      </c>
      <c r="I7" s="8" t="n">
        <v>12000</v>
      </c>
      <c r="J7" s="8" t="n">
        <v>45</v>
      </c>
      <c r="K7" s="8" t="s">
        <v>125</v>
      </c>
      <c r="L7" s="8" t="s">
        <v>100</v>
      </c>
      <c r="M7" s="8" t="s">
        <v>93</v>
      </c>
      <c r="N7" s="8" t="s">
        <v>101</v>
      </c>
      <c r="O7" s="8" t="s">
        <v>126</v>
      </c>
      <c r="P7" s="8" t="s">
        <v>103</v>
      </c>
      <c r="Q7" s="8" t="s">
        <v>104</v>
      </c>
      <c r="R7" s="8" t="s">
        <v>127</v>
      </c>
      <c r="S7" s="8" t="s">
        <v>128</v>
      </c>
    </row>
  </sheetData>
  <mergeCells count="2">
    <mergeCell ref="A1:T1"/>
    <mergeCell ref="A2:T2"/>
  </mergeCells>
  <conditionalFormatting sqref="M4:M1000">
    <cfRule type="expression" priority="2" aboveAverage="0" equalAverage="0" bottom="0" percent="0" rank="0" text="" dxfId="0">
      <formula>M4="Approved"</formula>
    </cfRule>
    <cfRule type="expression" priority="3" aboveAverage="0" equalAverage="0" bottom="0" percent="0" rank="0" text="" dxfId="1">
      <formula>M4="Rejected"</formula>
    </cfRule>
    <cfRule type="expression" priority="4" aboveAverage="0" equalAverage="0" bottom="0" percent="0" rank="0" text="" dxfId="2">
      <formula>M4="Pending"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36" hidden="false" customHeight="true" outlineLevel="0" collapsed="false">
      <c r="A1" s="1" t="s">
        <v>129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130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9" t="s">
        <v>131</v>
      </c>
      <c r="B4" s="9"/>
      <c r="C4" s="9"/>
      <c r="D4" s="9"/>
    </row>
    <row r="5" customFormat="false" ht="27.75" hidden="false" customHeight="true" outlineLevel="0" collapsed="false">
      <c r="A5" s="6" t="s">
        <v>41</v>
      </c>
      <c r="B5" s="6" t="s">
        <v>132</v>
      </c>
      <c r="C5" s="6" t="s">
        <v>133</v>
      </c>
      <c r="D5" s="6" t="s">
        <v>134</v>
      </c>
    </row>
    <row r="6" customFormat="false" ht="21.75" hidden="false" customHeight="true" outlineLevel="0" collapsed="false">
      <c r="A6" s="10" t="s">
        <v>84</v>
      </c>
      <c r="B6" s="10" t="n">
        <f aca="false">COUNTIF('Change Log'!M:M,A6)</f>
        <v>2</v>
      </c>
      <c r="C6" s="11" t="n">
        <f aca="false">SUMIF('Change Log'!M:M,A6,'Change Log'!I:I)</f>
        <v>53000</v>
      </c>
      <c r="D6" s="10" t="n">
        <f aca="false">SUMIF('Change Log'!M:M,A6,'Change Log'!J:J)</f>
        <v>35</v>
      </c>
    </row>
    <row r="7" customFormat="false" ht="21.75" hidden="false" customHeight="true" outlineLevel="0" collapsed="false">
      <c r="A7" s="12" t="s">
        <v>93</v>
      </c>
      <c r="B7" s="12" t="n">
        <f aca="false">COUNTIF('Change Log'!M:M,A7)</f>
        <v>2</v>
      </c>
      <c r="C7" s="13" t="n">
        <f aca="false">SUMIF('Change Log'!M:M,A7,'Change Log'!I:I)</f>
        <v>12000</v>
      </c>
      <c r="D7" s="12" t="n">
        <f aca="false">SUMIF('Change Log'!M:M,A7,'Change Log'!J:J)</f>
        <v>75</v>
      </c>
    </row>
    <row r="8" customFormat="false" ht="21.75" hidden="false" customHeight="true" outlineLevel="0" collapsed="false">
      <c r="A8" s="14" t="s">
        <v>135</v>
      </c>
      <c r="B8" s="14" t="n">
        <f aca="false">COUNTIF('Change Log'!M:M,A8)</f>
        <v>0</v>
      </c>
      <c r="C8" s="15" t="n">
        <f aca="false">SUMIF('Change Log'!M:M,A8,'Change Log'!I:I)</f>
        <v>0</v>
      </c>
      <c r="D8" s="14" t="n">
        <f aca="false">SUMIF('Change Log'!M:M,A8,'Change Log'!J:J)</f>
        <v>0</v>
      </c>
    </row>
    <row r="9" customFormat="false" ht="21.75" hidden="false" customHeight="true" outlineLevel="0" collapsed="false">
      <c r="A9" s="16" t="s">
        <v>136</v>
      </c>
      <c r="B9" s="16" t="n">
        <f aca="false">COUNTIF('Change Log'!M:M,A9)</f>
        <v>0</v>
      </c>
      <c r="C9" s="17" t="n">
        <f aca="false">SUMIF('Change Log'!M:M,A9,'Change Log'!I:I)</f>
        <v>0</v>
      </c>
      <c r="D9" s="16" t="n">
        <f aca="false">SUMIF('Change Log'!M:M,A9,'Change Log'!J:J)</f>
        <v>0</v>
      </c>
    </row>
    <row r="10" customFormat="false" ht="21.75" hidden="false" customHeight="true" outlineLevel="0" collapsed="false">
      <c r="A10" s="18" t="s">
        <v>137</v>
      </c>
      <c r="B10" s="18" t="n">
        <f aca="false">COUNTIF('Change Log'!M:M,A10)</f>
        <v>0</v>
      </c>
      <c r="C10" s="19" t="n">
        <f aca="false">SUMIF('Change Log'!M:M,A10,'Change Log'!I:I)</f>
        <v>0</v>
      </c>
      <c r="D10" s="18" t="n">
        <f aca="false">SUMIF('Change Log'!M:M,A10,'Change Log'!J:J)</f>
        <v>0</v>
      </c>
    </row>
    <row r="11" customFormat="false" ht="21.75" hidden="false" customHeight="true" outlineLevel="0" collapsed="false">
      <c r="A11" s="20" t="s">
        <v>138</v>
      </c>
      <c r="B11" s="20" t="n">
        <f aca="false">SUM(B6:B10)</f>
        <v>4</v>
      </c>
      <c r="C11" s="21" t="n">
        <f aca="false">SUM(C6:C10)</f>
        <v>65000</v>
      </c>
      <c r="D11" s="20" t="n">
        <f aca="false">SUM(D6:D10)</f>
        <v>110</v>
      </c>
    </row>
    <row r="13" customFormat="false" ht="24" hidden="false" customHeight="true" outlineLevel="0" collapsed="false">
      <c r="A13" s="9" t="s">
        <v>139</v>
      </c>
      <c r="B13" s="9"/>
      <c r="C13" s="9"/>
      <c r="D13" s="9"/>
    </row>
    <row r="14" customFormat="false" ht="27.75" hidden="false" customHeight="true" outlineLevel="0" collapsed="false">
      <c r="A14" s="6" t="s">
        <v>20</v>
      </c>
      <c r="B14" s="6" t="s">
        <v>132</v>
      </c>
      <c r="C14" s="6" t="s">
        <v>133</v>
      </c>
      <c r="D14" s="6" t="s">
        <v>47</v>
      </c>
    </row>
    <row r="15" customFormat="false" ht="21.75" hidden="false" customHeight="true" outlineLevel="0" collapsed="false">
      <c r="A15" s="18" t="s">
        <v>79</v>
      </c>
      <c r="B15" s="18" t="n">
        <f aca="false">COUNTIF('Change Log'!F:F,A15)</f>
        <v>1</v>
      </c>
      <c r="C15" s="19" t="n">
        <f aca="false">SUMIF('Change Log'!F:F,A15,'Change Log'!I:I)</f>
        <v>45000</v>
      </c>
      <c r="D15" s="18" t="n">
        <f aca="false">COUNTIFS('Change Log'!F:F,A15,'Change Log'!O:O,"Yes")</f>
        <v>1</v>
      </c>
    </row>
    <row r="16" customFormat="false" ht="21.75" hidden="false" customHeight="true" outlineLevel="0" collapsed="false">
      <c r="A16" s="16" t="s">
        <v>96</v>
      </c>
      <c r="B16" s="16" t="n">
        <f aca="false">COUNTIF('Change Log'!F:F,A16)</f>
        <v>1</v>
      </c>
      <c r="C16" s="17" t="n">
        <f aca="false">SUMIF('Change Log'!F:F,A16,'Change Log'!I:I)</f>
        <v>0</v>
      </c>
      <c r="D16" s="16" t="n">
        <f aca="false">COUNTIFS('Change Log'!F:F,A16,'Change Log'!O:O,"Yes")</f>
        <v>0</v>
      </c>
    </row>
    <row r="17" customFormat="false" ht="21.75" hidden="false" customHeight="true" outlineLevel="0" collapsed="false">
      <c r="A17" s="18" t="s">
        <v>140</v>
      </c>
      <c r="B17" s="18" t="n">
        <f aca="false">COUNTIF('Change Log'!F:F,A17)</f>
        <v>0</v>
      </c>
      <c r="C17" s="19" t="n">
        <f aca="false">SUMIF('Change Log'!F:F,A17,'Change Log'!I:I)</f>
        <v>0</v>
      </c>
      <c r="D17" s="18" t="n">
        <f aca="false">COUNTIFS('Change Log'!F:F,A17,'Change Log'!O:O,"Yes")</f>
        <v>0</v>
      </c>
    </row>
    <row r="18" customFormat="false" ht="21.75" hidden="false" customHeight="true" outlineLevel="0" collapsed="false">
      <c r="A18" s="16" t="s">
        <v>123</v>
      </c>
      <c r="B18" s="16" t="n">
        <f aca="false">COUNTIF('Change Log'!F:F,A18)</f>
        <v>1</v>
      </c>
      <c r="C18" s="17" t="n">
        <f aca="false">SUMIF('Change Log'!F:F,A18,'Change Log'!I:I)</f>
        <v>12000</v>
      </c>
      <c r="D18" s="16" t="n">
        <f aca="false">COUNTIFS('Change Log'!F:F,A18,'Change Log'!O:O,"Yes")</f>
        <v>0</v>
      </c>
    </row>
    <row r="19" customFormat="false" ht="21.75" hidden="false" customHeight="true" outlineLevel="0" collapsed="false">
      <c r="A19" s="18" t="s">
        <v>141</v>
      </c>
      <c r="B19" s="18" t="n">
        <f aca="false">COUNTIF('Change Log'!F:F,A19)</f>
        <v>0</v>
      </c>
      <c r="C19" s="19" t="n">
        <f aca="false">SUMIF('Change Log'!F:F,A19,'Change Log'!I:I)</f>
        <v>0</v>
      </c>
      <c r="D19" s="18" t="n">
        <f aca="false">COUNTIFS('Change Log'!F:F,A19,'Change Log'!O:O,"Yes")</f>
        <v>0</v>
      </c>
    </row>
    <row r="20" customFormat="false" ht="21.75" hidden="false" customHeight="true" outlineLevel="0" collapsed="false">
      <c r="A20" s="16" t="s">
        <v>112</v>
      </c>
      <c r="B20" s="16" t="n">
        <f aca="false">COUNTIF('Change Log'!F:F,A20)</f>
        <v>1</v>
      </c>
      <c r="C20" s="17" t="n">
        <f aca="false">SUMIF('Change Log'!F:F,A20,'Change Log'!I:I)</f>
        <v>8000</v>
      </c>
      <c r="D20" s="16" t="n">
        <f aca="false">COUNTIFS('Change Log'!F:F,A20,'Change Log'!O:O,"Yes")</f>
        <v>0</v>
      </c>
    </row>
    <row r="21" customFormat="false" ht="21.75" hidden="false" customHeight="true" outlineLevel="0" collapsed="false">
      <c r="A21" s="18" t="s">
        <v>142</v>
      </c>
      <c r="B21" s="18" t="n">
        <f aca="false">COUNTIF('Change Log'!F:F,A21)</f>
        <v>0</v>
      </c>
      <c r="C21" s="19" t="n">
        <f aca="false">SUMIF('Change Log'!F:F,A21,'Change Log'!I:I)</f>
        <v>0</v>
      </c>
      <c r="D21" s="18" t="n">
        <f aca="false">COUNTIFS('Change Log'!F:F,A21,'Change Log'!O:O,"Yes")</f>
        <v>0</v>
      </c>
    </row>
  </sheetData>
  <mergeCells count="4">
    <mergeCell ref="A1:F1"/>
    <mergeCell ref="A2:F2"/>
    <mergeCell ref="A4:D4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2026-06-23T23:38:50Z</dcterms:created>
  <dc:creator>openpyxl</dc:creator>
  <dc:description/>
  <dc:language>en-US</dc:language>
  <cp:lastModifiedBy/>
  <dcterms:modified xsi:type="dcterms:W3CDTF">2026-06-23T23:38:50Z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