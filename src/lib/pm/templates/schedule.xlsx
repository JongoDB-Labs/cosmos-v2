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chedule Variance Log" sheetId="2" state="visible" r:id="rId4"/>
    <sheet name="Variance 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<sst xmlns="http://schemas.openxmlformats.org/spreadsheetml/2006/main" count="237" uniqueCount="171">
  <si>
    <t xml:space="preserve">SCHEDULE VARIANCE TRACKER — INSTRUCTIONS</t>
  </si>
  <si>
    <t xml:space="preserve">v2.0 Program  •  Owner: PM / Scheduler  •  Update weekly before tag-up  •  Baseline dates are set once and never changed</t>
  </si>
  <si>
    <t xml:space="preserve">PURPOSE &amp; DESIGN PRINCIPLES</t>
  </si>
  <si>
    <t xml:space="preserve">PURPOSE</t>
  </si>
  <si>
    <t xml:space="preserve">Surfaces milestone and phase gate schedule health for PM, government customer, and stakeholder reporting. MS Project holds the full schedule. This tracker holds the reportable view — milestones and phase gates only, with variance narrative.</t>
  </si>
  <si>
    <t xml:space="preserve">BASELINE DATES</t>
  </si>
  <si>
    <t xml:space="preserve">Baseline dates are set at program start (or at the beginning of each phase) and NEVER changed. They are the reference point against which all variance is measured. If a milestone is re-baselined, create a new row and mark the old one as Re-baselined.</t>
  </si>
  <si>
    <t xml:space="preserve">UPDATE CADENCE</t>
  </si>
  <si>
    <t xml:space="preserve">Updated weekly by the PM or scheduler before the tag-up. Current Projected Date is the only field that changes week to week for in-progress milestones. Completed milestones get an Actual Date and Status = Complete.</t>
  </si>
  <si>
    <t xml:space="preserve">WHAT GOES HERE</t>
  </si>
  <si>
    <t xml:space="preserve">Milestones and phase gates only — not individual tasks. Rule of thumb: if it would appear on a program summary schedule or in an MSR, it goes here. Sprint-level tasks stay in ClickUp or COSMOS.</t>
  </si>
  <si>
    <t xml:space="preserve">VARIANCE NARRATIVE</t>
  </si>
  <si>
    <t xml:space="preserve">Any milestone showing Slipped or At Risk status MUST have a root cause and recovery plan entered. A variance number without a narrative is not useful to a decision-maker.</t>
  </si>
  <si>
    <t xml:space="preserve">FEEDING STAKEHOLDER REPORTS</t>
  </si>
  <si>
    <t xml:space="preserve">Cowork or MAQ's app reads this tracker weekly. The Variance Summary tab provides the aggregated view. Only At Risk and Slipped milestones surface in stakeholder reports unless the PM flags otherwise.</t>
  </si>
  <si>
    <t xml:space="preserve">STATUS DEFINITIONS</t>
  </si>
  <si>
    <t xml:space="preserve">STATUS</t>
  </si>
  <si>
    <t xml:space="preserve">DEFINITION</t>
  </si>
  <si>
    <t xml:space="preserve">REPORTING ACTION</t>
  </si>
  <si>
    <t xml:space="preserve">Not Started</t>
  </si>
  <si>
    <t xml:space="preserve">Milestone is in the future and no work has begun on it yet.</t>
  </si>
  <si>
    <t xml:space="preserve">No action unless baseline date is approaching.</t>
  </si>
  <si>
    <t xml:space="preserve">On Track</t>
  </si>
  <si>
    <t xml:space="preserve">Current projected date = baseline date. No variance.</t>
  </si>
  <si>
    <t xml:space="preserve">Report as green in stakeholder reports.</t>
  </si>
  <si>
    <t xml:space="preserve">At Risk</t>
  </si>
  <si>
    <t xml:space="preserve">Variance of 1–14 days. Milestone may slip without corrective action.</t>
  </si>
  <si>
    <t xml:space="preserve">Flag in weekly report. Include root cause and recovery plan.</t>
  </si>
  <si>
    <t xml:space="preserve">Slipped</t>
  </si>
  <si>
    <t xml:space="preserve">Variance &gt;14 days or milestone has passed its baseline date without completion.</t>
  </si>
  <si>
    <t xml:space="preserve">Mandatory narrative. Surface in MSR. Government notification may be required.</t>
  </si>
  <si>
    <t xml:space="preserve">Complete</t>
  </si>
  <si>
    <t xml:space="preserve">Milestone achieved. Enter actual completion date.</t>
  </si>
  <si>
    <t xml:space="preserve">Report actual vs. baseline variance in QPR narrative.</t>
  </si>
  <si>
    <t xml:space="preserve">Re-baselined</t>
  </si>
  <si>
    <t xml:space="preserve">Baseline formally re-set via approved change request. Original row archived.</t>
  </si>
  <si>
    <t xml:space="preserve">Reference CR number in Notes. New row created with new baseline.</t>
  </si>
  <si>
    <t xml:space="preserve">SCHEDULE VARIANCE LOG  [Table: ScheduleVariance]</t>
  </si>
  <si>
    <t xml:space="preserve">Baseline dates are set once — never change them  •  Update Current Projected Date weekly  •  Slipped or At Risk milestones require root cause and recovery plan  •  Green row = template</t>
  </si>
  <si>
    <t xml:space="preserve">Milestone
ID</t>
  </si>
  <si>
    <t xml:space="preserve">Phase</t>
  </si>
  <si>
    <t xml:space="preserve">Branch</t>
  </si>
  <si>
    <t xml:space="preserve">Milestone
Name</t>
  </si>
  <si>
    <t xml:space="preserve">Milestone
Type</t>
  </si>
  <si>
    <t xml:space="preserve">Baseline
Date</t>
  </si>
  <si>
    <t xml:space="preserve">Current
Projected
Date</t>
  </si>
  <si>
    <t xml:space="preserve">Actual
Completion
Date</t>
  </si>
  <si>
    <t xml:space="preserve">Days
Variance</t>
  </si>
  <si>
    <t xml:space="preserve">Variance
Direction</t>
  </si>
  <si>
    <t xml:space="preserve">Status</t>
  </si>
  <si>
    <t xml:space="preserve">Root Cause
(if slipped or at risk)</t>
  </si>
  <si>
    <t xml:space="preserve">Recovery
Plan</t>
  </si>
  <si>
    <t xml:space="preserve">Recovery
Target Date</t>
  </si>
  <si>
    <t xml:space="preserve">Impacts
Downstream?</t>
  </si>
  <si>
    <t xml:space="preserve">Downstream
Milestones
Affected</t>
  </si>
  <si>
    <t xml:space="preserve">Escalate to
Customer?</t>
  </si>
  <si>
    <t xml:space="preserve">Related
CR / Risk</t>
  </si>
  <si>
    <t xml:space="preserve">Notes</t>
  </si>
  <si>
    <t xml:space="preserve">Format:
M-001</t>
  </si>
  <si>
    <t xml:space="preserve">Phase 0 /
Phase 1 etc.</t>
  </si>
  <si>
    <t xml:space="preserve">Branch
1.0–6.0
or All</t>
  </si>
  <si>
    <t xml:space="preserve">≤8 words</t>
  </si>
  <si>
    <t xml:space="preserve">Phase Gate /
Govt Deliverable /
Internal Chkpt /
OT&amp;E Event /
Sprint Review</t>
  </si>
  <si>
    <t xml:space="preserve">MM/DD/YYYY
SET ONCE
NEVER CHANGE</t>
  </si>
  <si>
    <t xml:space="preserve">MM/DD/YYYY
Update
weekly</t>
  </si>
  <si>
    <t xml:space="preserve">MM/DD/YYYY
when done</t>
  </si>
  <si>
    <t xml:space="preserve">AUTO →
formula</t>
  </si>
  <si>
    <t xml:space="preserve">Not Started /
On Track /
At Risk /
Slipped /
Complete /
Re-baselined</t>
  </si>
  <si>
    <t xml:space="preserve">Required if
At Risk
or Slipped</t>
  </si>
  <si>
    <t xml:space="preserve">MM/DD/YYYY</t>
  </si>
  <si>
    <t xml:space="preserve">Yes / No</t>
  </si>
  <si>
    <t xml:space="preserve">M-002, M-005
etc.</t>
  </si>
  <si>
    <t xml:space="preserve">CR-001 /
R-001 etc.</t>
  </si>
  <si>
    <t xml:space="preserve">Context</t>
  </si>
  <si>
    <t xml:space="preserve">▶ COPY THIS ROW — fill all non-AUTO fields</t>
  </si>
  <si>
    <t xml:space="preserve">[Phase]</t>
  </si>
  <si>
    <t xml:space="preserve">[Branch]</t>
  </si>
  <si>
    <t xml:space="preserve">[Milestone name]</t>
  </si>
  <si>
    <t xml:space="preserve">Internal Checkpoint</t>
  </si>
  <si>
    <t xml:space="preserve">No</t>
  </si>
  <si>
    <t xml:space="preserve">M-001</t>
  </si>
  <si>
    <t xml:space="preserve">Phase 0</t>
  </si>
  <si>
    <t xml:space="preserve">All</t>
  </si>
  <si>
    <t xml:space="preserve">Program Kickoff</t>
  </si>
  <si>
    <t xml:space="preserve">04/01/2026</t>
  </si>
  <si>
    <t xml:space="preserve">Kickoff completed on schedule. All branch leads attended.</t>
  </si>
  <si>
    <t xml:space="preserve">M-002</t>
  </si>
  <si>
    <t xml:space="preserve">1.0 Program Management</t>
  </si>
  <si>
    <t xml:space="preserve">PM Framework Baseline</t>
  </si>
  <si>
    <t xml:space="preserve">04/15/2026</t>
  </si>
  <si>
    <t xml:space="preserve">04/22/2026</t>
  </si>
  <si>
    <t xml:space="preserve">Branch RACI took longer than planned to finalize.</t>
  </si>
  <si>
    <t xml:space="preserve">N/A — complete</t>
  </si>
  <si>
    <t xml:space="preserve">7-day slip. No downstream impact. Recovered before Phase 1 start.</t>
  </si>
  <si>
    <t xml:space="preserve">M-003</t>
  </si>
  <si>
    <t xml:space="preserve">Feasibility Gate / Phase 0 Close</t>
  </si>
  <si>
    <t xml:space="preserve">Phase Gate</t>
  </si>
  <si>
    <t xml:space="preserve">05/15/2026</t>
  </si>
  <si>
    <t xml:space="preserve">Gate passed. All entry criteria met. Phase 1 authorized.</t>
  </si>
  <si>
    <t xml:space="preserve">M-004</t>
  </si>
  <si>
    <t xml:space="preserve">Phase 1</t>
  </si>
  <si>
    <t xml:space="preserve">3.0 Security &amp; Compliance</t>
  </si>
  <si>
    <t xml:space="preserve">RMF Package Submission</t>
  </si>
  <si>
    <t xml:space="preserve">Govt Deliverable</t>
  </si>
  <si>
    <t xml:space="preserve">07/01/2026</t>
  </si>
  <si>
    <t xml:space="preserve">08/01/2026</t>
  </si>
  <si>
    <t xml:space="preserve">STIG remediation findings exceeded initial estimate. 47 open findings remain vs. 12 planned at this stage.</t>
  </si>
  <si>
    <t xml:space="preserve">Dedicated STIG remediation sprint allocated. CyberShield resource hours increased per SUBK-002 Mod-001.</t>
  </si>
  <si>
    <t xml:space="preserve">07/25/2026</t>
  </si>
  <si>
    <t xml:space="preserve">Yes</t>
  </si>
  <si>
    <t xml:space="preserve">M-008</t>
  </si>
  <si>
    <t xml:space="preserve">R-001 / CR-002</t>
  </si>
  <si>
    <t xml:space="preserve">31-day slip. Government ATO timeline impact likely. COR notified 06/05.</t>
  </si>
  <si>
    <t xml:space="preserve">M-005</t>
  </si>
  <si>
    <t xml:space="preserve">4.0 Infra &amp; Environment</t>
  </si>
  <si>
    <t xml:space="preserve">Production Env Provisioned</t>
  </si>
  <si>
    <t xml:space="preserve">06/15/2026</t>
  </si>
  <si>
    <t xml:space="preserve">07/30/2026</t>
  </si>
  <si>
    <t xml:space="preserve">GFE server delivery delayed 6 weeks from original schedule. Alternate cloud path under evaluation.</t>
  </si>
  <si>
    <t xml:space="preserve">Infra Lead scoping interim cloud workaround. Awaiting COR authorization per BL-002.</t>
  </si>
  <si>
    <t xml:space="preserve">M-006, M-007</t>
  </si>
  <si>
    <t xml:space="preserve">R-003 / CR-004</t>
  </si>
  <si>
    <t xml:space="preserve">45-day slip. Critical path impact. PM escalated to COR.</t>
  </si>
  <si>
    <t xml:space="preserve">M-006</t>
  </si>
  <si>
    <t xml:space="preserve">2.0 Software Development</t>
  </si>
  <si>
    <t xml:space="preserve">Sprint 4 Feature Complete</t>
  </si>
  <si>
    <t xml:space="preserve">Sprint Review</t>
  </si>
  <si>
    <t xml:space="preserve">06/30/2026</t>
  </si>
  <si>
    <t xml:space="preserve">07/07/2026</t>
  </si>
  <si>
    <t xml:space="preserve">API schema decision (BL-003) delayed Sprint 4 start by one week.</t>
  </si>
  <si>
    <t xml:space="preserve">Decision session scheduled 06/18. If resolved, sprint can recover.</t>
  </si>
  <si>
    <t xml:space="preserve">BL-003</t>
  </si>
  <si>
    <t xml:space="preserve">7-day slip if blocker not resolved by 06/18.</t>
  </si>
  <si>
    <t xml:space="preserve">M-007</t>
  </si>
  <si>
    <t xml:space="preserve">5.0 OT&amp;E</t>
  </si>
  <si>
    <t xml:space="preserve">GAT Entry Criteria Published</t>
  </si>
  <si>
    <t xml:space="preserve">07/15/2026</t>
  </si>
  <si>
    <t xml:space="preserve">Entry criteria document in final review. On track.</t>
  </si>
  <si>
    <t xml:space="preserve">ATO Granted</t>
  </si>
  <si>
    <t xml:space="preserve">09/01/2026</t>
  </si>
  <si>
    <t xml:space="preserve">10/01/2026</t>
  </si>
  <si>
    <t xml:space="preserve">Dependent on M-004 RMF package submission. 31-day upstream slip propagates.</t>
  </si>
  <si>
    <t xml:space="preserve">Recovery tied to M-004 recovery plan. No independent recovery path.</t>
  </si>
  <si>
    <t xml:space="preserve">R-001</t>
  </si>
  <si>
    <t xml:space="preserve">Downstream slip from M-004. ATO timeline formally communicated to government.</t>
  </si>
  <si>
    <t xml:space="preserve">SCHEDULE VARIANCE SUMMARY</t>
  </si>
  <si>
    <t xml:space="preserve">Auto-calculated from Schedule Variance Log  •  Use for weekly status reports, MSRs, and QPRs</t>
  </si>
  <si>
    <t xml:space="preserve">MILESTONE STATUS SUMMARY</t>
  </si>
  <si>
    <t xml:space="preserve">Count</t>
  </si>
  <si>
    <t xml:space="preserve">% of Total</t>
  </si>
  <si>
    <t xml:space="preserve">Govt Deliverables
Affected</t>
  </si>
  <si>
    <t xml:space="preserve">Phase Gate
Affected</t>
  </si>
  <si>
    <t xml:space="preserve">Action</t>
  </si>
  <si>
    <t xml:space="preserve">Mandatory narrative + customer notification review</t>
  </si>
  <si>
    <t xml:space="preserve">Flag in weekly report — recovery plan required</t>
  </si>
  <si>
    <t xml:space="preserve">Report as green</t>
  </si>
  <si>
    <t xml:space="preserve">Report actual vs baseline in QPR</t>
  </si>
  <si>
    <t xml:space="preserve">Flag if baseline date approaching within 30 days</t>
  </si>
  <si>
    <t xml:space="preserve">Reference CR number in narrative</t>
  </si>
  <si>
    <t xml:space="preserve">VARIANCE BY BRANCH</t>
  </si>
  <si>
    <t xml:space="preserve">Total
Milestones</t>
  </si>
  <si>
    <t xml:space="preserve">On Track
or Complete</t>
  </si>
  <si>
    <t xml:space="preserve">Avg Variance
(days)</t>
  </si>
  <si>
    <t xml:space="preserve">6.0 Fielding &amp; Transition</t>
  </si>
  <si>
    <t xml:space="preserve">SLIPPED MILESTONES REQUIRING CUSTOMER NOTIFICATION</t>
  </si>
  <si>
    <t xml:space="preserve">Milestone ID</t>
  </si>
  <si>
    <t xml:space="preserve">Milestone Name</t>
  </si>
  <si>
    <t xml:space="preserve">Baseline</t>
  </si>
  <si>
    <t xml:space="preserve">Projected</t>
  </si>
  <si>
    <t xml:space="preserve">Days Slipped</t>
  </si>
  <si>
    <t xml:space="preserve">Escalate?</t>
  </si>
</sst>
</file>

<file path=xl/styles.xml><?xml version="1.0" encoding="utf-8"?>
<styleSheet xmlns="http://schemas.openxmlformats.org/spreadsheetml/2006/main">
  <numFmts count="5">
    <numFmt numFmtId="164" formatCode="General"/>
    <numFmt numFmtId="165" formatCode="0"/>
    <numFmt numFmtId="166" formatCode="General"/>
    <numFmt numFmtId="167" formatCode="0%"/>
    <numFmt numFmtId="168" formatCode="0.0"/>
  </numFmts>
  <fonts count="2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666666"/>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00"/>
      <name val="Arial"/>
      <family val="0"/>
      <charset val="1"/>
    </font>
    <font>
      <i val="true"/>
      <sz val="8"/>
      <color rgb="FF555555"/>
      <name val="Arial"/>
      <family val="0"/>
      <charset val="1"/>
    </font>
    <font>
      <b val="true"/>
      <sz val="10"/>
      <color rgb="FF1E4620"/>
      <name val="Arial"/>
      <family val="0"/>
      <charset val="1"/>
    </font>
    <font>
      <i val="true"/>
      <sz val="10"/>
      <color rgb="FF1E4620"/>
      <name val="Arial"/>
      <family val="0"/>
      <charset val="1"/>
    </font>
    <font>
      <b val="true"/>
      <sz val="10"/>
      <color rgb="FF9C0006"/>
      <name val="Arial"/>
      <family val="0"/>
      <charset val="1"/>
    </font>
    <font>
      <sz val="10"/>
      <color rgb="FF9C0006"/>
      <name val="Arial"/>
      <family val="0"/>
      <charset val="1"/>
    </font>
    <font>
      <b val="true"/>
      <sz val="10"/>
      <color rgb="FF9C6500"/>
      <name val="Arial"/>
      <family val="0"/>
      <charset val="1"/>
    </font>
    <font>
      <sz val="10"/>
      <color rgb="FF9C6500"/>
      <name val="Arial"/>
      <family val="0"/>
      <charset val="1"/>
    </font>
    <font>
      <b val="true"/>
      <sz val="10"/>
      <color rgb="FF276221"/>
      <name val="Arial"/>
      <family val="0"/>
      <charset val="1"/>
    </font>
    <font>
      <sz val="10"/>
      <color rgb="FF276221"/>
      <name val="Arial"/>
      <family val="0"/>
      <charset val="1"/>
    </font>
    <font>
      <b val="true"/>
      <sz val="10"/>
      <color rgb="FF2E4D8A"/>
      <name val="Arial"/>
      <family val="0"/>
      <charset val="1"/>
    </font>
    <font>
      <sz val="10"/>
      <color rgb="FF2E4D8A"/>
      <name val="Arial"/>
      <family val="0"/>
      <charset val="1"/>
    </font>
    <font>
      <b val="true"/>
      <sz val="10"/>
      <color rgb="FF333333"/>
      <name val="Arial"/>
      <family val="0"/>
      <charset val="1"/>
    </font>
    <font>
      <sz val="10"/>
      <color rgb="FF333333"/>
      <name val="Arial"/>
      <family val="0"/>
      <charset val="1"/>
    </font>
    <font>
      <b val="true"/>
      <sz val="10"/>
      <color rgb="FF555555"/>
      <name val="Arial"/>
      <family val="0"/>
      <charset val="1"/>
    </font>
    <font>
      <sz val="10"/>
      <color rgb="FF555555"/>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D9E1F2"/>
        <bgColor rgb="FFDDEBF7"/>
      </patternFill>
    </fill>
    <fill>
      <patternFill patternType="solid">
        <fgColor rgb="FFFFFFFF"/>
        <bgColor rgb="FFF7F7F7"/>
      </patternFill>
    </fill>
    <fill>
      <patternFill patternType="solid">
        <fgColor rgb="FF2E4D8A"/>
        <bgColor rgb="FF1F3864"/>
      </patternFill>
    </fill>
    <fill>
      <patternFill patternType="solid">
        <fgColor rgb="FFF7F7F7"/>
        <bgColor rgb="FFF2F2F2"/>
      </patternFill>
    </fill>
    <fill>
      <patternFill patternType="solid">
        <fgColor rgb="FFE2EFDA"/>
        <bgColor rgb="FFDDEBF7"/>
      </patternFill>
    </fill>
    <fill>
      <patternFill patternType="solid">
        <fgColor rgb="FFFFCCCC"/>
        <bgColor rgb="FFCCCCCC"/>
      </patternFill>
    </fill>
    <fill>
      <patternFill patternType="solid">
        <fgColor rgb="FFFFEB9C"/>
        <bgColor rgb="FFE2EFDA"/>
      </patternFill>
    </fill>
    <fill>
      <patternFill patternType="solid">
        <fgColor rgb="FFC6EFCE"/>
        <bgColor rgb="FFE2EFDA"/>
      </patternFill>
    </fill>
    <fill>
      <patternFill patternType="solid">
        <fgColor rgb="FFDDEBF7"/>
        <bgColor rgb="FFD9E1F2"/>
      </patternFill>
    </fill>
    <fill>
      <patternFill patternType="solid">
        <fgColor rgb="FFF2F2F2"/>
        <bgColor rgb="FFF7F7F7"/>
      </patternFill>
    </fill>
    <fill>
      <patternFill patternType="solid">
        <fgColor rgb="FF9C0006"/>
        <bgColor rgb="FF8000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6" fontId="15" fillId="8" borderId="1" xfId="0" applyFont="true" applyBorder="true" applyAlignment="true" applyProtection="false">
      <alignment horizontal="center" vertical="center" textRotation="0" wrapText="false" indent="0" shrinkToFit="false"/>
      <protection locked="true" hidden="false"/>
    </xf>
    <xf numFmtId="167" fontId="15" fillId="8"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16" fillId="9" borderId="1" xfId="0" applyFont="true" applyBorder="true" applyAlignment="true" applyProtection="false">
      <alignment horizontal="left" vertical="center" textRotation="0" wrapText="true" indent="0" shrinkToFit="false"/>
      <protection locked="true" hidden="false"/>
    </xf>
    <xf numFmtId="166" fontId="17" fillId="9" borderId="1" xfId="0" applyFont="true" applyBorder="true" applyAlignment="true" applyProtection="false">
      <alignment horizontal="center" vertical="center" textRotation="0" wrapText="false" indent="0" shrinkToFit="false"/>
      <protection locked="true" hidden="false"/>
    </xf>
    <xf numFmtId="167" fontId="17"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6" fontId="19" fillId="10" borderId="1" xfId="0" applyFont="true" applyBorder="true" applyAlignment="true" applyProtection="false">
      <alignment horizontal="center" vertical="center" textRotation="0" wrapText="false" indent="0" shrinkToFit="false"/>
      <protection locked="true" hidden="false"/>
    </xf>
    <xf numFmtId="167" fontId="19" fillId="10" borderId="1" xfId="0" applyFont="true" applyBorder="true" applyAlignment="true" applyProtection="false">
      <alignment horizontal="center" vertical="center" textRotation="0" wrapText="false" indent="0" shrinkToFit="false"/>
      <protection locked="true" hidden="false"/>
    </xf>
    <xf numFmtId="164" fontId="19" fillId="10" borderId="1" xfId="0" applyFont="true" applyBorder="true" applyAlignment="true" applyProtection="false">
      <alignment horizontal="left" vertical="center" textRotation="0" wrapText="true" indent="0" shrinkToFit="false"/>
      <protection locked="true" hidden="false"/>
    </xf>
    <xf numFmtId="164" fontId="20" fillId="11" borderId="1" xfId="0" applyFont="true" applyBorder="true" applyAlignment="true" applyProtection="false">
      <alignment horizontal="left" vertical="center" textRotation="0" wrapText="true" indent="0" shrinkToFit="false"/>
      <protection locked="true" hidden="false"/>
    </xf>
    <xf numFmtId="166" fontId="21" fillId="11" borderId="1" xfId="0" applyFont="true" applyBorder="true" applyAlignment="true" applyProtection="false">
      <alignment horizontal="center" vertical="center" textRotation="0" wrapText="false" indent="0" shrinkToFit="false"/>
      <protection locked="true" hidden="false"/>
    </xf>
    <xf numFmtId="167" fontId="21" fillId="11"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left" vertical="center" textRotation="0" wrapText="true" indent="0" shrinkToFit="false"/>
      <protection locked="true" hidden="false"/>
    </xf>
    <xf numFmtId="164" fontId="22" fillId="4" borderId="1" xfId="0" applyFont="true" applyBorder="true" applyAlignment="true" applyProtection="false">
      <alignment horizontal="left" vertical="center" textRotation="0" wrapText="true" indent="0" shrinkToFit="false"/>
      <protection locked="true" hidden="false"/>
    </xf>
    <xf numFmtId="166" fontId="23" fillId="4" borderId="1" xfId="0" applyFont="true" applyBorder="true" applyAlignment="true" applyProtection="false">
      <alignment horizontal="center" vertical="center" textRotation="0" wrapText="false" indent="0" shrinkToFit="false"/>
      <protection locked="true" hidden="false"/>
    </xf>
    <xf numFmtId="167" fontId="23" fillId="4" borderId="1" xfId="0" applyFont="true" applyBorder="true" applyAlignment="true" applyProtection="false">
      <alignment horizontal="center" vertical="center" textRotation="0" wrapText="false" indent="0" shrinkToFit="false"/>
      <protection locked="true" hidden="false"/>
    </xf>
    <xf numFmtId="164" fontId="23" fillId="4" borderId="1" xfId="0" applyFont="true" applyBorder="true" applyAlignment="true" applyProtection="false">
      <alignment horizontal="left" vertical="center" textRotation="0" wrapText="true" indent="0" shrinkToFit="false"/>
      <protection locked="true" hidden="false"/>
    </xf>
    <xf numFmtId="164" fontId="24" fillId="12" borderId="1" xfId="0" applyFont="true" applyBorder="true" applyAlignment="true" applyProtection="false">
      <alignment horizontal="left" vertical="center" textRotation="0" wrapText="true" indent="0" shrinkToFit="false"/>
      <protection locked="true" hidden="false"/>
    </xf>
    <xf numFmtId="166" fontId="25" fillId="12" borderId="1" xfId="0" applyFont="true" applyBorder="true" applyAlignment="true" applyProtection="false">
      <alignment horizontal="center" vertical="center" textRotation="0" wrapText="false" indent="0" shrinkToFit="false"/>
      <protection locked="true" hidden="false"/>
    </xf>
    <xf numFmtId="167" fontId="25" fillId="12" borderId="1" xfId="0" applyFont="true" applyBorder="true" applyAlignment="true" applyProtection="false">
      <alignment horizontal="center" vertical="center" textRotation="0" wrapText="fals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8" fontId="8" fillId="3" borderId="1" xfId="0" applyFont="true" applyBorder="true" applyAlignment="true" applyProtection="false">
      <alignment horizontal="center"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4" fontId="6" fillId="13"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3864"/>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F7F7F7"/>
          <bgColor rgb="FF000000"/>
        </patternFill>
      </fill>
    </dxf>
    <dxf>
      <fill>
        <patternFill patternType="solid">
          <fgColor rgb="FFFFFFFF"/>
          <bgColor rgb="FF000000"/>
        </patternFill>
      </fill>
    </dxf>
    <dxf>
      <fill>
        <patternFill patternType="solid">
          <fgColor rgb="FF1E4620"/>
          <bgColor rgb="FF000000"/>
        </patternFill>
      </fill>
    </dxf>
    <dxf>
      <fill>
        <patternFill patternType="solid">
          <fgColor rgb="FF555555"/>
          <bgColor rgb="FF000000"/>
        </patternFill>
      </fill>
    </dxf>
    <dxf>
      <fill>
        <patternFill patternType="soli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CCCC"/>
          <bgColor rgb="FF000000"/>
        </patternFill>
      </fill>
    </dxf>
    <dxf>
      <fill>
        <patternFill patternType="solid">
          <fgColor rgb="FFFFEB9C"/>
          <bgColor rgb="FF000000"/>
        </patternFill>
      </fill>
    </dxf>
    <dxf>
      <fill>
        <patternFill patternType="solid">
          <fgColor rgb="FF276221"/>
          <bgColor rgb="FF000000"/>
        </patternFill>
      </fill>
    </dxf>
    <dxf>
      <fill>
        <patternFill patternType="solid">
          <fgColor rgb="FF2E4D8A"/>
          <bgColor rgb="FF000000"/>
        </patternFill>
      </fill>
    </dxf>
    <dxf>
      <fill>
        <patternFill patternType="solid">
          <fgColor rgb="FF9C0006"/>
          <bgColor rgb="FF000000"/>
        </patternFill>
      </fill>
    </dxf>
    <dxf>
      <fill>
        <patternFill patternType="solid">
          <fgColor rgb="FF9C6500"/>
          <bgColor rgb="FF000000"/>
        </patternFill>
      </fill>
    </dxf>
    <dxf>
      <font>
        <name val="Arial"/>
        <charset val="1"/>
        <family val="0"/>
        <b val="1"/>
        <color rgb="FF9C0006"/>
        <sz val="10"/>
      </font>
      <fill>
        <patternFill>
          <bgColor rgb="FFFFCCCC"/>
        </patternFill>
      </fill>
    </dxf>
    <dxf>
      <font>
        <name val="Arial"/>
        <charset val="1"/>
        <family val="0"/>
        <b val="1"/>
        <color rgb="FF9C6500"/>
        <sz val="10"/>
      </font>
      <fill>
        <patternFill>
          <bgColor rgb="FFFFEB9C"/>
        </patternFill>
      </fill>
    </dxf>
    <dxf>
      <font>
        <name val="Arial"/>
        <charset val="1"/>
        <family val="0"/>
        <color rgb="FF276221"/>
        <sz val="10"/>
      </font>
      <fill>
        <patternFill>
          <bgColor rgb="FFC6EFCE"/>
        </patternFill>
      </fill>
    </dxf>
    <dxf>
      <font>
        <name val="Arial"/>
        <charset val="1"/>
        <family val="0"/>
        <color rgb="FF2E4D8A"/>
        <sz val="10"/>
      </font>
      <fill>
        <patternFill>
          <bgColor rgb="FFDDEBF7"/>
        </patternFill>
      </fill>
    </dxf>
  </dxfs>
  <colors>
    <indexedColors>
      <rgbColor rgb="FF000000"/>
      <rgbColor rgb="FFFFFFFF"/>
      <rgbColor rgb="FFFF0000"/>
      <rgbColor rgb="FF00FF00"/>
      <rgbColor rgb="FF0000FF"/>
      <rgbColor rgb="FFFFFF00"/>
      <rgbColor rgb="FFFF00FF"/>
      <rgbColor rgb="FF00FFFF"/>
      <rgbColor rgb="FF9C0006"/>
      <rgbColor rgb="FF276221"/>
      <rgbColor rgb="FF000080"/>
      <rgbColor rgb="FF9C6500"/>
      <rgbColor rgb="FF800080"/>
      <rgbColor rgb="FF008080"/>
      <rgbColor rgb="FFCCCCCC"/>
      <rgbColor rgb="FF555555"/>
      <rgbColor rgb="FF9999FF"/>
      <rgbColor rgb="FF993366"/>
      <rgbColor rgb="FFF7F7F7"/>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F99CC"/>
      <rgbColor rgb="FFCC99FF"/>
      <rgbColor rgb="FFFFCCCC"/>
      <rgbColor rgb="FF3366FF"/>
      <rgbColor rgb="FF33CCCC"/>
      <rgbColor rgb="FF99CC00"/>
      <rgbColor rgb="FFFFCC00"/>
      <rgbColor rgb="FFFF9900"/>
      <rgbColor rgb="FFFF6600"/>
      <rgbColor rgb="FF666666"/>
      <rgbColor rgb="FF969696"/>
      <rgbColor rgb="FF1F3864"/>
      <rgbColor rgb="FF339966"/>
      <rgbColor rgb="FF003300"/>
      <rgbColor rgb="FF1E4620"/>
      <rgbColor rgb="FF993300"/>
      <rgbColor rgb="FF993366"/>
      <rgbColor rgb="FF2E4D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ScheduleVariance" displayName="ScheduleVariance" ref="A3:S13" headerRowCount="1" totalsRowCount="0" totalsRowShown="0">
  <autoFilter ref="A3:S13"/>
  <tableColumns count="19">
    <tableColumn id="1" name="Milestone&#10;ID"/>
    <tableColumn id="2" name="Phase"/>
    <tableColumn id="3" name="Branch"/>
    <tableColumn id="4" name="Milestone&#10;Name"/>
    <tableColumn id="5" name="Milestone&#10;Type"/>
    <tableColumn id="6" name="Baseline&#10;Date"/>
    <tableColumn id="7" name="Current&#10;Projected&#10;Date"/>
    <tableColumn id="8" name="Actual&#10;Completion&#10;Date"/>
    <tableColumn id="9" name="Days&#10;Variance"/>
    <tableColumn id="10" name="Variance&#10;Direction"/>
    <tableColumn id="11" name="Status"/>
    <tableColumn id="12" name="Root Cause&#10;(if slipped or at risk)"/>
    <tableColumn id="13" name="Recovery&#10;Plan"/>
    <tableColumn id="14" name="Recovery&#10;Target Date"/>
    <tableColumn id="15" name="Impacts&#10;Downstream?"/>
    <tableColumn id="16" name="Downstream&#10;Milestones&#10;Affected"/>
    <tableColumn id="17" name="Escalate to&#10;Customer?"/>
    <tableColumn id="18" name="Related&#10;CR / Risk"/>
    <tableColumn id="19"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38"/>
  </cols>
  <sheetData>
    <row r="1" customFormat="false" ht="36" hidden="false" customHeight="true" outlineLevel="0" collapsed="false">
      <c r="A1" s="1" t="s">
        <v>0</v>
      </c>
      <c r="B1" s="1"/>
      <c r="C1" s="1"/>
    </row>
    <row r="2" customFormat="false" ht="21.75" hidden="false" customHeight="true" outlineLevel="0" collapsed="false">
      <c r="A2" s="2" t="s">
        <v>1</v>
      </c>
      <c r="B2" s="2"/>
      <c r="C2" s="2"/>
    </row>
    <row r="4" customFormat="false" ht="24" hidden="false" customHeight="true" outlineLevel="0" collapsed="false">
      <c r="A4" s="3" t="s">
        <v>2</v>
      </c>
      <c r="B4" s="3"/>
      <c r="C4" s="3"/>
    </row>
    <row r="5" customFormat="false" ht="43.5" hidden="false" customHeight="true" outlineLevel="0" collapsed="false">
      <c r="A5" s="4" t="s">
        <v>3</v>
      </c>
      <c r="B5" s="5" t="s">
        <v>4</v>
      </c>
      <c r="C5" s="5"/>
    </row>
    <row r="6" customFormat="false" ht="43.5" hidden="false" customHeight="true" outlineLevel="0" collapsed="false">
      <c r="A6" s="6" t="s">
        <v>5</v>
      </c>
      <c r="B6" s="7" t="s">
        <v>6</v>
      </c>
      <c r="C6" s="7"/>
    </row>
    <row r="7" customFormat="false" ht="43.5" hidden="false" customHeight="true" outlineLevel="0" collapsed="false">
      <c r="A7" s="4" t="s">
        <v>7</v>
      </c>
      <c r="B7" s="5" t="s">
        <v>8</v>
      </c>
      <c r="C7" s="5"/>
    </row>
    <row r="8" customFormat="false" ht="43.5" hidden="false" customHeight="true" outlineLevel="0" collapsed="false">
      <c r="A8" s="6" t="s">
        <v>9</v>
      </c>
      <c r="B8" s="7" t="s">
        <v>10</v>
      </c>
      <c r="C8" s="7"/>
    </row>
    <row r="9" customFormat="false" ht="43.5" hidden="false" customHeight="true" outlineLevel="0" collapsed="false">
      <c r="A9" s="4" t="s">
        <v>11</v>
      </c>
      <c r="B9" s="5" t="s">
        <v>12</v>
      </c>
      <c r="C9" s="5"/>
    </row>
    <row r="10" customFormat="false" ht="43.5" hidden="false" customHeight="true" outlineLevel="0" collapsed="false">
      <c r="A10" s="6" t="s">
        <v>13</v>
      </c>
      <c r="B10" s="7" t="s">
        <v>14</v>
      </c>
      <c r="C10" s="7"/>
    </row>
    <row r="12" customFormat="false" ht="24" hidden="false" customHeight="true" outlineLevel="0" collapsed="false">
      <c r="A12" s="3" t="s">
        <v>15</v>
      </c>
      <c r="B12" s="3"/>
      <c r="C12" s="3"/>
    </row>
    <row r="13" customFormat="false" ht="24" hidden="false" customHeight="true" outlineLevel="0" collapsed="false">
      <c r="A13" s="8" t="s">
        <v>16</v>
      </c>
      <c r="B13" s="8" t="s">
        <v>17</v>
      </c>
      <c r="C13" s="8" t="s">
        <v>18</v>
      </c>
    </row>
    <row r="14" customFormat="false" ht="36" hidden="false" customHeight="true" outlineLevel="0" collapsed="false">
      <c r="A14" s="9" t="s">
        <v>19</v>
      </c>
      <c r="B14" s="9" t="s">
        <v>20</v>
      </c>
      <c r="C14" s="9" t="s">
        <v>21</v>
      </c>
    </row>
    <row r="15" customFormat="false" ht="36" hidden="false" customHeight="true" outlineLevel="0" collapsed="false">
      <c r="A15" s="10" t="s">
        <v>22</v>
      </c>
      <c r="B15" s="10" t="s">
        <v>23</v>
      </c>
      <c r="C15" s="10" t="s">
        <v>24</v>
      </c>
    </row>
    <row r="16" customFormat="false" ht="36" hidden="false" customHeight="true" outlineLevel="0" collapsed="false">
      <c r="A16" s="9" t="s">
        <v>25</v>
      </c>
      <c r="B16" s="9" t="s">
        <v>26</v>
      </c>
      <c r="C16" s="9" t="s">
        <v>27</v>
      </c>
    </row>
    <row r="17" customFormat="false" ht="36" hidden="false" customHeight="true" outlineLevel="0" collapsed="false">
      <c r="A17" s="10" t="s">
        <v>28</v>
      </c>
      <c r="B17" s="10" t="s">
        <v>29</v>
      </c>
      <c r="C17" s="10" t="s">
        <v>30</v>
      </c>
    </row>
    <row r="18" customFormat="false" ht="36" hidden="false" customHeight="true" outlineLevel="0" collapsed="false">
      <c r="A18" s="9" t="s">
        <v>31</v>
      </c>
      <c r="B18" s="9" t="s">
        <v>32</v>
      </c>
      <c r="C18" s="9" t="s">
        <v>33</v>
      </c>
    </row>
    <row r="19" customFormat="false" ht="36" hidden="false" customHeight="true" outlineLevel="0" collapsed="false">
      <c r="A19" s="10" t="s">
        <v>34</v>
      </c>
      <c r="B19" s="10" t="s">
        <v>35</v>
      </c>
      <c r="C19" s="10" t="s">
        <v>36</v>
      </c>
    </row>
  </sheetData>
  <mergeCells count="10">
    <mergeCell ref="A1:C1"/>
    <mergeCell ref="A2:C2"/>
    <mergeCell ref="A4:C4"/>
    <mergeCell ref="B5:C5"/>
    <mergeCell ref="B6:C6"/>
    <mergeCell ref="B7:C7"/>
    <mergeCell ref="B8:C8"/>
    <mergeCell ref="B9:C9"/>
    <mergeCell ref="B10:C10"/>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2"/>
    <col collapsed="false" customWidth="true" hidden="false" outlineLevel="0" max="4" min="4" style="0" width="28"/>
    <col collapsed="false" customWidth="true" hidden="false" outlineLevel="0" max="5" min="5" style="0" width="20"/>
    <col collapsed="false" customWidth="true" hidden="false" outlineLevel="0" max="8" min="6" style="0" width="14"/>
    <col collapsed="false" customWidth="true" hidden="false" outlineLevel="0" max="9" min="9" style="0" width="11"/>
    <col collapsed="false" customWidth="true" hidden="false" outlineLevel="0" max="10" min="10" style="0" width="13"/>
    <col collapsed="false" customWidth="true" hidden="false" outlineLevel="0" max="11" min="11" style="0" width="14"/>
    <col collapsed="false" customWidth="true" hidden="false" outlineLevel="0" max="12" min="12" style="0" width="40"/>
    <col collapsed="false" customWidth="true" hidden="false" outlineLevel="0" max="13" min="13" style="0" width="36"/>
    <col collapsed="false" customWidth="true" hidden="false" outlineLevel="0" max="14" min="14" style="0" width="14"/>
    <col collapsed="false" customWidth="true" hidden="false" outlineLevel="0" max="15" min="15" style="0" width="12"/>
    <col collapsed="false" customWidth="true" hidden="false" outlineLevel="0" max="16" min="16" style="0" width="20"/>
    <col collapsed="false" customWidth="true" hidden="false" outlineLevel="0" max="17" min="17" style="0" width="12"/>
    <col collapsed="false" customWidth="true" hidden="false" outlineLevel="0" max="18" min="18" style="0" width="14"/>
    <col collapsed="false" customWidth="true" hidden="false" outlineLevel="0" max="19" min="19" style="0" width="32"/>
  </cols>
  <sheetData>
    <row r="1" customFormat="false" ht="36" hidden="false" customHeight="true" outlineLevel="0" collapsed="false">
      <c r="A1" s="1" t="s">
        <v>37</v>
      </c>
      <c r="B1" s="1"/>
      <c r="C1" s="1"/>
      <c r="D1" s="1"/>
      <c r="E1" s="1"/>
      <c r="F1" s="1"/>
      <c r="G1" s="1"/>
      <c r="H1" s="1"/>
      <c r="I1" s="1"/>
      <c r="J1" s="1"/>
      <c r="K1" s="1"/>
      <c r="L1" s="1"/>
      <c r="M1" s="1"/>
      <c r="N1" s="1"/>
      <c r="O1" s="1"/>
      <c r="P1" s="1"/>
      <c r="Q1" s="1"/>
      <c r="R1" s="1"/>
      <c r="S1" s="1"/>
    </row>
    <row r="2" customFormat="false" ht="21.75" hidden="false" customHeight="true" outlineLevel="0" collapsed="false">
      <c r="A2" s="2" t="s">
        <v>38</v>
      </c>
      <c r="B2" s="2"/>
      <c r="C2" s="2"/>
      <c r="D2" s="2"/>
      <c r="E2" s="2"/>
      <c r="F2" s="2"/>
      <c r="G2" s="2"/>
      <c r="H2" s="2"/>
      <c r="I2" s="2"/>
      <c r="J2" s="2"/>
      <c r="K2" s="2"/>
      <c r="L2" s="2"/>
      <c r="M2" s="2"/>
      <c r="N2" s="2"/>
      <c r="O2" s="2"/>
      <c r="P2" s="2"/>
      <c r="Q2" s="2"/>
      <c r="R2" s="2"/>
      <c r="S2" s="2"/>
    </row>
    <row r="3" customFormat="false" ht="55.5" hidden="false" customHeight="true" outlineLevel="0" collapsed="false">
      <c r="A3" s="11" t="s">
        <v>39</v>
      </c>
      <c r="B3" s="11" t="s">
        <v>40</v>
      </c>
      <c r="C3" s="11" t="s">
        <v>41</v>
      </c>
      <c r="D3" s="11" t="s">
        <v>42</v>
      </c>
      <c r="E3" s="11" t="s">
        <v>43</v>
      </c>
      <c r="F3" s="11" t="s">
        <v>44</v>
      </c>
      <c r="G3" s="11" t="s">
        <v>45</v>
      </c>
      <c r="H3" s="11" t="s">
        <v>46</v>
      </c>
      <c r="I3" s="11" t="s">
        <v>47</v>
      </c>
      <c r="J3" s="11" t="s">
        <v>48</v>
      </c>
      <c r="K3" s="11" t="s">
        <v>49</v>
      </c>
      <c r="L3" s="11" t="s">
        <v>50</v>
      </c>
      <c r="M3" s="11" t="s">
        <v>51</v>
      </c>
      <c r="N3" s="11" t="s">
        <v>52</v>
      </c>
      <c r="O3" s="11" t="s">
        <v>53</v>
      </c>
      <c r="P3" s="11" t="s">
        <v>54</v>
      </c>
      <c r="Q3" s="11" t="s">
        <v>55</v>
      </c>
      <c r="R3" s="11" t="s">
        <v>56</v>
      </c>
      <c r="S3" s="11" t="s">
        <v>57</v>
      </c>
    </row>
    <row r="4" customFormat="false" ht="55.5" hidden="false" customHeight="true" outlineLevel="0" collapsed="false">
      <c r="A4" s="12" t="s">
        <v>58</v>
      </c>
      <c r="B4" s="12" t="s">
        <v>59</v>
      </c>
      <c r="C4" s="12" t="s">
        <v>60</v>
      </c>
      <c r="D4" s="12" t="s">
        <v>61</v>
      </c>
      <c r="E4" s="12" t="s">
        <v>62</v>
      </c>
      <c r="F4" s="12" t="s">
        <v>63</v>
      </c>
      <c r="G4" s="12" t="s">
        <v>64</v>
      </c>
      <c r="H4" s="12" t="s">
        <v>65</v>
      </c>
      <c r="I4" s="12" t="s">
        <v>66</v>
      </c>
      <c r="J4" s="12" t="s">
        <v>66</v>
      </c>
      <c r="K4" s="12" t="s">
        <v>67</v>
      </c>
      <c r="L4" s="12" t="s">
        <v>68</v>
      </c>
      <c r="M4" s="12" t="s">
        <v>68</v>
      </c>
      <c r="N4" s="12" t="s">
        <v>69</v>
      </c>
      <c r="O4" s="12" t="s">
        <v>70</v>
      </c>
      <c r="P4" s="12" t="s">
        <v>71</v>
      </c>
      <c r="Q4" s="12" t="s">
        <v>70</v>
      </c>
      <c r="R4" s="12" t="s">
        <v>72</v>
      </c>
      <c r="S4" s="12" t="s">
        <v>73</v>
      </c>
    </row>
    <row r="5" customFormat="false" ht="39.75" hidden="false" customHeight="true" outlineLevel="0" collapsed="false">
      <c r="A5" s="13" t="s">
        <v>74</v>
      </c>
      <c r="B5" s="14" t="s">
        <v>75</v>
      </c>
      <c r="C5" s="14" t="s">
        <v>76</v>
      </c>
      <c r="D5" s="14" t="s">
        <v>77</v>
      </c>
      <c r="E5" s="14" t="s">
        <v>78</v>
      </c>
      <c r="F5" s="14"/>
      <c r="G5" s="14"/>
      <c r="H5" s="14"/>
      <c r="I5" s="15" t="str">
        <f aca="false">IF(AND(ISNUMBER(F5),ISNUMBER(G5)),G5-F5,"—")</f>
        <v>—</v>
      </c>
      <c r="J5" s="16" t="str">
        <f aca="false">IF(I5="","—",IF(I5&lt;0,"⬆ Early",IF(I5=0,"● On Time","⬇ Slipped")))</f>
        <v>⬇ Slipped</v>
      </c>
      <c r="K5" s="14" t="s">
        <v>19</v>
      </c>
      <c r="L5" s="14"/>
      <c r="M5" s="14"/>
      <c r="N5" s="14"/>
      <c r="O5" s="14" t="s">
        <v>79</v>
      </c>
      <c r="P5" s="14"/>
      <c r="Q5" s="14" t="s">
        <v>79</v>
      </c>
      <c r="R5" s="14"/>
      <c r="S5" s="14"/>
    </row>
    <row r="6" customFormat="false" ht="51.75" hidden="false" customHeight="true" outlineLevel="0" collapsed="false">
      <c r="A6" s="5" t="s">
        <v>80</v>
      </c>
      <c r="B6" s="5" t="s">
        <v>81</v>
      </c>
      <c r="C6" s="5" t="s">
        <v>82</v>
      </c>
      <c r="D6" s="5" t="s">
        <v>83</v>
      </c>
      <c r="E6" s="5" t="s">
        <v>78</v>
      </c>
      <c r="F6" s="5" t="s">
        <v>84</v>
      </c>
      <c r="G6" s="5" t="s">
        <v>84</v>
      </c>
      <c r="H6" s="5" t="s">
        <v>84</v>
      </c>
      <c r="I6" s="17" t="str">
        <f aca="false">IF(AND(ISNUMBER(F6),ISNUMBER(G6)),G6-F6,"—")</f>
        <v>—</v>
      </c>
      <c r="J6" s="18" t="str">
        <f aca="false">IF(I6="","—",IF(K6="Complete",IF(H6&lt;F6,"⬆ Early",IF(H6=F6,"● On Time","⬇ Slipped")),IF(I6&lt;0,"⬆ Early",IF(I6=0,"● On Time","⬇ Slipped"))))</f>
        <v>● On Time</v>
      </c>
      <c r="K6" s="5" t="s">
        <v>31</v>
      </c>
      <c r="L6" s="5"/>
      <c r="M6" s="5"/>
      <c r="N6" s="5"/>
      <c r="O6" s="5" t="s">
        <v>79</v>
      </c>
      <c r="P6" s="5"/>
      <c r="Q6" s="5" t="s">
        <v>79</v>
      </c>
      <c r="R6" s="5"/>
      <c r="S6" s="5" t="s">
        <v>85</v>
      </c>
    </row>
    <row r="7" customFormat="false" ht="51.75" hidden="false" customHeight="true" outlineLevel="0" collapsed="false">
      <c r="A7" s="7" t="s">
        <v>86</v>
      </c>
      <c r="B7" s="7" t="s">
        <v>81</v>
      </c>
      <c r="C7" s="7" t="s">
        <v>87</v>
      </c>
      <c r="D7" s="7" t="s">
        <v>88</v>
      </c>
      <c r="E7" s="7" t="s">
        <v>78</v>
      </c>
      <c r="F7" s="7" t="s">
        <v>89</v>
      </c>
      <c r="G7" s="7" t="s">
        <v>90</v>
      </c>
      <c r="H7" s="7" t="s">
        <v>90</v>
      </c>
      <c r="I7" s="19" t="str">
        <f aca="false">IF(AND(ISNUMBER(F7),ISNUMBER(G7)),G7-F7,"—")</f>
        <v>—</v>
      </c>
      <c r="J7" s="20" t="str">
        <f aca="false">IF(I7="","—",IF(K7="Complete",IF(H7&lt;F7,"⬆ Early",IF(H7=F7,"● On Time","⬇ Slipped")),IF(I7&lt;0,"⬆ Early",IF(I7=0,"● On Time","⬇ Slipped"))))</f>
        <v>⬇ Slipped</v>
      </c>
      <c r="K7" s="7" t="s">
        <v>31</v>
      </c>
      <c r="L7" s="7" t="s">
        <v>91</v>
      </c>
      <c r="M7" s="7" t="s">
        <v>92</v>
      </c>
      <c r="N7" s="7"/>
      <c r="O7" s="7" t="s">
        <v>79</v>
      </c>
      <c r="P7" s="7"/>
      <c r="Q7" s="7" t="s">
        <v>79</v>
      </c>
      <c r="R7" s="7"/>
      <c r="S7" s="7" t="s">
        <v>93</v>
      </c>
    </row>
    <row r="8" customFormat="false" ht="51.75" hidden="false" customHeight="true" outlineLevel="0" collapsed="false">
      <c r="A8" s="5" t="s">
        <v>94</v>
      </c>
      <c r="B8" s="5" t="s">
        <v>81</v>
      </c>
      <c r="C8" s="5" t="s">
        <v>82</v>
      </c>
      <c r="D8" s="5" t="s">
        <v>95</v>
      </c>
      <c r="E8" s="5" t="s">
        <v>96</v>
      </c>
      <c r="F8" s="5" t="s">
        <v>97</v>
      </c>
      <c r="G8" s="5" t="s">
        <v>97</v>
      </c>
      <c r="H8" s="5" t="s">
        <v>97</v>
      </c>
      <c r="I8" s="17" t="str">
        <f aca="false">IF(AND(ISNUMBER(F8),ISNUMBER(G8)),G8-F8,"—")</f>
        <v>—</v>
      </c>
      <c r="J8" s="18" t="str">
        <f aca="false">IF(I8="","—",IF(K8="Complete",IF(H8&lt;F8,"⬆ Early",IF(H8=F8,"● On Time","⬇ Slipped")),IF(I8&lt;0,"⬆ Early",IF(I8=0,"● On Time","⬇ Slipped"))))</f>
        <v>● On Time</v>
      </c>
      <c r="K8" s="5" t="s">
        <v>31</v>
      </c>
      <c r="L8" s="5"/>
      <c r="M8" s="5"/>
      <c r="N8" s="5"/>
      <c r="O8" s="5" t="s">
        <v>79</v>
      </c>
      <c r="P8" s="5"/>
      <c r="Q8" s="5" t="s">
        <v>79</v>
      </c>
      <c r="R8" s="5"/>
      <c r="S8" s="5" t="s">
        <v>98</v>
      </c>
    </row>
    <row r="9" customFormat="false" ht="51.75" hidden="false" customHeight="true" outlineLevel="0" collapsed="false">
      <c r="A9" s="7" t="s">
        <v>99</v>
      </c>
      <c r="B9" s="7" t="s">
        <v>100</v>
      </c>
      <c r="C9" s="7" t="s">
        <v>101</v>
      </c>
      <c r="D9" s="7" t="s">
        <v>102</v>
      </c>
      <c r="E9" s="7" t="s">
        <v>103</v>
      </c>
      <c r="F9" s="7" t="s">
        <v>104</v>
      </c>
      <c r="G9" s="7" t="s">
        <v>105</v>
      </c>
      <c r="H9" s="7"/>
      <c r="I9" s="19" t="str">
        <f aca="false">IF(AND(ISNUMBER(F9),ISNUMBER(G9)),G9-F9,"—")</f>
        <v>—</v>
      </c>
      <c r="J9" s="20" t="str">
        <f aca="false">IF(I9="","—",IF(K9="Complete",IF(H9&lt;F9,"⬆ Early",IF(H9=F9,"● On Time","⬇ Slipped")),IF(I9&lt;0,"⬆ Early",IF(I9=0,"● On Time","⬇ Slipped"))))</f>
        <v>⬇ Slipped</v>
      </c>
      <c r="K9" s="7" t="s">
        <v>28</v>
      </c>
      <c r="L9" s="7" t="s">
        <v>106</v>
      </c>
      <c r="M9" s="7" t="s">
        <v>107</v>
      </c>
      <c r="N9" s="7" t="s">
        <v>108</v>
      </c>
      <c r="O9" s="7" t="s">
        <v>109</v>
      </c>
      <c r="P9" s="7" t="s">
        <v>110</v>
      </c>
      <c r="Q9" s="7" t="s">
        <v>109</v>
      </c>
      <c r="R9" s="7" t="s">
        <v>111</v>
      </c>
      <c r="S9" s="7" t="s">
        <v>112</v>
      </c>
    </row>
    <row r="10" customFormat="false" ht="51.75" hidden="false" customHeight="true" outlineLevel="0" collapsed="false">
      <c r="A10" s="5" t="s">
        <v>113</v>
      </c>
      <c r="B10" s="5" t="s">
        <v>100</v>
      </c>
      <c r="C10" s="5" t="s">
        <v>114</v>
      </c>
      <c r="D10" s="5" t="s">
        <v>115</v>
      </c>
      <c r="E10" s="5" t="s">
        <v>78</v>
      </c>
      <c r="F10" s="5" t="s">
        <v>116</v>
      </c>
      <c r="G10" s="5" t="s">
        <v>117</v>
      </c>
      <c r="H10" s="5"/>
      <c r="I10" s="17" t="str">
        <f aca="false">IF(AND(ISNUMBER(F10),ISNUMBER(G10)),G10-F10,"—")</f>
        <v>—</v>
      </c>
      <c r="J10" s="18" t="str">
        <f aca="false">IF(I10="","—",IF(K10="Complete",IF(H10&lt;F10,"⬆ Early",IF(H10=F10,"● On Time","⬇ Slipped")),IF(I10&lt;0,"⬆ Early",IF(I10=0,"● On Time","⬇ Slipped"))))</f>
        <v>⬇ Slipped</v>
      </c>
      <c r="K10" s="5" t="s">
        <v>28</v>
      </c>
      <c r="L10" s="5" t="s">
        <v>118</v>
      </c>
      <c r="M10" s="5" t="s">
        <v>119</v>
      </c>
      <c r="N10" s="5" t="s">
        <v>108</v>
      </c>
      <c r="O10" s="5" t="s">
        <v>109</v>
      </c>
      <c r="P10" s="5" t="s">
        <v>120</v>
      </c>
      <c r="Q10" s="5" t="s">
        <v>109</v>
      </c>
      <c r="R10" s="5" t="s">
        <v>121</v>
      </c>
      <c r="S10" s="5" t="s">
        <v>122</v>
      </c>
    </row>
    <row r="11" customFormat="false" ht="51.75" hidden="false" customHeight="true" outlineLevel="0" collapsed="false">
      <c r="A11" s="7" t="s">
        <v>123</v>
      </c>
      <c r="B11" s="7" t="s">
        <v>100</v>
      </c>
      <c r="C11" s="7" t="s">
        <v>124</v>
      </c>
      <c r="D11" s="7" t="s">
        <v>125</v>
      </c>
      <c r="E11" s="7" t="s">
        <v>126</v>
      </c>
      <c r="F11" s="7" t="s">
        <v>127</v>
      </c>
      <c r="G11" s="7" t="s">
        <v>128</v>
      </c>
      <c r="H11" s="7"/>
      <c r="I11" s="19" t="str">
        <f aca="false">IF(AND(ISNUMBER(F11),ISNUMBER(G11)),G11-F11,"—")</f>
        <v>—</v>
      </c>
      <c r="J11" s="20" t="str">
        <f aca="false">IF(I11="","—",IF(K11="Complete",IF(H11&lt;F11,"⬆ Early",IF(H11=F11,"● On Time","⬇ Slipped")),IF(I11&lt;0,"⬆ Early",IF(I11=0,"● On Time","⬇ Slipped"))))</f>
        <v>⬇ Slipped</v>
      </c>
      <c r="K11" s="7" t="s">
        <v>25</v>
      </c>
      <c r="L11" s="7" t="s">
        <v>129</v>
      </c>
      <c r="M11" s="7" t="s">
        <v>130</v>
      </c>
      <c r="N11" s="7" t="s">
        <v>128</v>
      </c>
      <c r="O11" s="7" t="s">
        <v>79</v>
      </c>
      <c r="P11" s="7"/>
      <c r="Q11" s="7" t="s">
        <v>79</v>
      </c>
      <c r="R11" s="7" t="s">
        <v>131</v>
      </c>
      <c r="S11" s="7" t="s">
        <v>132</v>
      </c>
    </row>
    <row r="12" customFormat="false" ht="51.75" hidden="false" customHeight="true" outlineLevel="0" collapsed="false">
      <c r="A12" s="5" t="s">
        <v>133</v>
      </c>
      <c r="B12" s="5" t="s">
        <v>100</v>
      </c>
      <c r="C12" s="5" t="s">
        <v>134</v>
      </c>
      <c r="D12" s="5" t="s">
        <v>135</v>
      </c>
      <c r="E12" s="5" t="s">
        <v>103</v>
      </c>
      <c r="F12" s="5" t="s">
        <v>136</v>
      </c>
      <c r="G12" s="5" t="s">
        <v>136</v>
      </c>
      <c r="H12" s="5"/>
      <c r="I12" s="17" t="str">
        <f aca="false">IF(AND(ISNUMBER(F12),ISNUMBER(G12)),G12-F12,"—")</f>
        <v>—</v>
      </c>
      <c r="J12" s="18" t="str">
        <f aca="false">IF(I12="","—",IF(K12="Complete",IF(H12&lt;F12,"⬆ Early",IF(H12=F12,"● On Time","⬇ Slipped")),IF(I12&lt;0,"⬆ Early",IF(I12=0,"● On Time","⬇ Slipped"))))</f>
        <v>⬇ Slipped</v>
      </c>
      <c r="K12" s="5" t="s">
        <v>22</v>
      </c>
      <c r="L12" s="5"/>
      <c r="M12" s="5"/>
      <c r="N12" s="5"/>
      <c r="O12" s="5" t="s">
        <v>79</v>
      </c>
      <c r="P12" s="5"/>
      <c r="Q12" s="5" t="s">
        <v>79</v>
      </c>
      <c r="R12" s="5"/>
      <c r="S12" s="5" t="s">
        <v>137</v>
      </c>
    </row>
    <row r="13" customFormat="false" ht="51.75" hidden="false" customHeight="true" outlineLevel="0" collapsed="false">
      <c r="A13" s="7" t="s">
        <v>110</v>
      </c>
      <c r="B13" s="7" t="s">
        <v>100</v>
      </c>
      <c r="C13" s="7" t="s">
        <v>101</v>
      </c>
      <c r="D13" s="7" t="s">
        <v>138</v>
      </c>
      <c r="E13" s="7" t="s">
        <v>96</v>
      </c>
      <c r="F13" s="7" t="s">
        <v>139</v>
      </c>
      <c r="G13" s="7" t="s">
        <v>140</v>
      </c>
      <c r="H13" s="7"/>
      <c r="I13" s="19" t="str">
        <f aca="false">IF(AND(ISNUMBER(F13),ISNUMBER(G13)),G13-F13,"—")</f>
        <v>—</v>
      </c>
      <c r="J13" s="20" t="str">
        <f aca="false">IF(I13="","—",IF(K13="Complete",IF(H13&lt;F13,"⬆ Early",IF(H13=F13,"● On Time","⬇ Slipped")),IF(I13&lt;0,"⬆ Early",IF(I13=0,"● On Time","⬇ Slipped"))))</f>
        <v>⬇ Slipped</v>
      </c>
      <c r="K13" s="7" t="s">
        <v>28</v>
      </c>
      <c r="L13" s="7" t="s">
        <v>141</v>
      </c>
      <c r="M13" s="7" t="s">
        <v>142</v>
      </c>
      <c r="N13" s="7" t="s">
        <v>140</v>
      </c>
      <c r="O13" s="7" t="s">
        <v>109</v>
      </c>
      <c r="P13" s="7"/>
      <c r="Q13" s="7" t="s">
        <v>109</v>
      </c>
      <c r="R13" s="7" t="s">
        <v>143</v>
      </c>
      <c r="S13" s="7" t="s">
        <v>144</v>
      </c>
    </row>
  </sheetData>
  <mergeCells count="2">
    <mergeCell ref="A1:S1"/>
    <mergeCell ref="A2:S2"/>
  </mergeCells>
  <conditionalFormatting sqref="K6:K500">
    <cfRule type="expression" priority="2" aboveAverage="0" equalAverage="0" bottom="0" percent="0" rank="0" text="" dxfId="16">
      <formula>K6="Slipped"</formula>
    </cfRule>
    <cfRule type="expression" priority="3" aboveAverage="0" equalAverage="0" bottom="0" percent="0" rank="0" text="" dxfId="17">
      <formula>K6="At Risk"</formula>
    </cfRule>
    <cfRule type="expression" priority="4" aboveAverage="0" equalAverage="0" bottom="0" percent="0" rank="0" text="" dxfId="18">
      <formula>K6="On Track"</formula>
    </cfRule>
    <cfRule type="expression" priority="5" aboveAverage="0" equalAverage="0" bottom="0" percent="0" rank="0" text="" dxfId="19">
      <formula>K6="Complete"</formula>
    </cfRule>
  </conditionalFormatting>
  <conditionalFormatting sqref="L6:L500">
    <cfRule type="expression" priority="6" aboveAverage="0" equalAverage="0" bottom="0" percent="0" rank="0" text="" dxfId="16">
      <formula>AND(OR(K6="Slipped",K6="At Risk"),L6="")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5" min="3" style="0" width="14"/>
    <col collapsed="false" customWidth="true" hidden="false" outlineLevel="0" max="6" min="6" style="0" width="12"/>
  </cols>
  <sheetData>
    <row r="1" customFormat="false" ht="36" hidden="false" customHeight="true" outlineLevel="0" collapsed="false">
      <c r="A1" s="1" t="s">
        <v>145</v>
      </c>
      <c r="B1" s="1"/>
      <c r="C1" s="1"/>
      <c r="D1" s="1"/>
      <c r="E1" s="1"/>
      <c r="F1" s="1"/>
    </row>
    <row r="2" customFormat="false" ht="21.75" hidden="false" customHeight="true" outlineLevel="0" collapsed="false">
      <c r="A2" s="2" t="s">
        <v>146</v>
      </c>
      <c r="B2" s="2"/>
      <c r="C2" s="2"/>
      <c r="D2" s="2"/>
      <c r="E2" s="2"/>
      <c r="F2" s="2"/>
    </row>
    <row r="4" customFormat="false" ht="24" hidden="false" customHeight="true" outlineLevel="0" collapsed="false">
      <c r="A4" s="21" t="s">
        <v>147</v>
      </c>
      <c r="B4" s="21"/>
      <c r="C4" s="21"/>
      <c r="D4" s="21"/>
      <c r="E4" s="21"/>
      <c r="F4" s="21"/>
    </row>
    <row r="5" customFormat="false" ht="36" hidden="false" customHeight="true" outlineLevel="0" collapsed="false">
      <c r="A5" s="11" t="s">
        <v>49</v>
      </c>
      <c r="B5" s="11" t="s">
        <v>148</v>
      </c>
      <c r="C5" s="11" t="s">
        <v>149</v>
      </c>
      <c r="D5" s="11" t="s">
        <v>150</v>
      </c>
      <c r="E5" s="11" t="s">
        <v>151</v>
      </c>
      <c r="F5" s="11" t="s">
        <v>152</v>
      </c>
    </row>
    <row r="6" customFormat="false" ht="25.5" hidden="false" customHeight="true" outlineLevel="0" collapsed="false">
      <c r="A6" s="22" t="s">
        <v>28</v>
      </c>
      <c r="B6" s="23" t="n">
        <f aca="false">COUNTIF('Schedule Variance Log'!K:K,A6)</f>
        <v>3</v>
      </c>
      <c r="C6" s="24" t="n">
        <f aca="false">IFERROR(B6/SUM(B6:B11),0)</f>
        <v>0.333333333333333</v>
      </c>
      <c r="D6" s="23" t="n">
        <f aca="false">COUNTIFS('Schedule Variance Log'!K:K,A6,'Schedule Variance Log'!E:E,"Govt Deliverable")</f>
        <v>1</v>
      </c>
      <c r="E6" s="23" t="n">
        <f aca="false">COUNTIFS('Schedule Variance Log'!K:K,A6,'Schedule Variance Log'!E:E,"Phase Gate")</f>
        <v>1</v>
      </c>
      <c r="F6" s="25" t="s">
        <v>153</v>
      </c>
    </row>
    <row r="7" customFormat="false" ht="25.5" hidden="false" customHeight="true" outlineLevel="0" collapsed="false">
      <c r="A7" s="26" t="s">
        <v>25</v>
      </c>
      <c r="B7" s="27" t="n">
        <f aca="false">COUNTIF('Schedule Variance Log'!K:K,A7)</f>
        <v>1</v>
      </c>
      <c r="C7" s="28" t="n">
        <f aca="false">IFERROR(B7/SUM(B6:B11),0)</f>
        <v>0.111111111111111</v>
      </c>
      <c r="D7" s="27" t="n">
        <f aca="false">COUNTIFS('Schedule Variance Log'!K:K,A7,'Schedule Variance Log'!E:E,"Govt Deliverable")</f>
        <v>0</v>
      </c>
      <c r="E7" s="27" t="n">
        <f aca="false">COUNTIFS('Schedule Variance Log'!K:K,A7,'Schedule Variance Log'!E:E,"Phase Gate")</f>
        <v>0</v>
      </c>
      <c r="F7" s="29" t="s">
        <v>154</v>
      </c>
    </row>
    <row r="8" customFormat="false" ht="25.5" hidden="false" customHeight="true" outlineLevel="0" collapsed="false">
      <c r="A8" s="30" t="s">
        <v>22</v>
      </c>
      <c r="B8" s="31" t="n">
        <f aca="false">COUNTIF('Schedule Variance Log'!K:K,A8)</f>
        <v>1</v>
      </c>
      <c r="C8" s="32" t="n">
        <f aca="false">IFERROR(B8/SUM(B6:B11),0)</f>
        <v>0.111111111111111</v>
      </c>
      <c r="D8" s="31" t="n">
        <f aca="false">COUNTIFS('Schedule Variance Log'!K:K,A8,'Schedule Variance Log'!E:E,"Govt Deliverable")</f>
        <v>1</v>
      </c>
      <c r="E8" s="31" t="n">
        <f aca="false">COUNTIFS('Schedule Variance Log'!K:K,A8,'Schedule Variance Log'!E:E,"Phase Gate")</f>
        <v>0</v>
      </c>
      <c r="F8" s="33" t="s">
        <v>155</v>
      </c>
    </row>
    <row r="9" customFormat="false" ht="25.5" hidden="false" customHeight="true" outlineLevel="0" collapsed="false">
      <c r="A9" s="34" t="s">
        <v>31</v>
      </c>
      <c r="B9" s="35" t="n">
        <f aca="false">COUNTIF('Schedule Variance Log'!K:K,A9)</f>
        <v>3</v>
      </c>
      <c r="C9" s="36" t="n">
        <f aca="false">IFERROR(B9/SUM(B6:B11),0)</f>
        <v>0.333333333333333</v>
      </c>
      <c r="D9" s="35" t="n">
        <f aca="false">COUNTIFS('Schedule Variance Log'!K:K,A9,'Schedule Variance Log'!E:E,"Govt Deliverable")</f>
        <v>0</v>
      </c>
      <c r="E9" s="35" t="n">
        <f aca="false">COUNTIFS('Schedule Variance Log'!K:K,A9,'Schedule Variance Log'!E:E,"Phase Gate")</f>
        <v>1</v>
      </c>
      <c r="F9" s="37" t="s">
        <v>156</v>
      </c>
    </row>
    <row r="10" customFormat="false" ht="25.5" hidden="false" customHeight="true" outlineLevel="0" collapsed="false">
      <c r="A10" s="38" t="s">
        <v>19</v>
      </c>
      <c r="B10" s="39" t="n">
        <f aca="false">COUNTIF('Schedule Variance Log'!K:K,A10)</f>
        <v>1</v>
      </c>
      <c r="C10" s="40" t="n">
        <f aca="false">IFERROR(B10/SUM(B6:B11),0)</f>
        <v>0.111111111111111</v>
      </c>
      <c r="D10" s="39" t="n">
        <f aca="false">COUNTIFS('Schedule Variance Log'!K:K,A10,'Schedule Variance Log'!E:E,"Govt Deliverable")</f>
        <v>0</v>
      </c>
      <c r="E10" s="39" t="n">
        <f aca="false">COUNTIFS('Schedule Variance Log'!K:K,A10,'Schedule Variance Log'!E:E,"Phase Gate")</f>
        <v>0</v>
      </c>
      <c r="F10" s="41" t="s">
        <v>157</v>
      </c>
    </row>
    <row r="11" customFormat="false" ht="25.5" hidden="false" customHeight="true" outlineLevel="0" collapsed="false">
      <c r="A11" s="42" t="s">
        <v>34</v>
      </c>
      <c r="B11" s="43" t="n">
        <f aca="false">COUNTIF('Schedule Variance Log'!K:K,A11)</f>
        <v>0</v>
      </c>
      <c r="C11" s="44" t="n">
        <f aca="false">IFERROR(B11/SUM(B6:B11),0)</f>
        <v>0</v>
      </c>
      <c r="D11" s="43" t="n">
        <f aca="false">COUNTIFS('Schedule Variance Log'!K:K,A11,'Schedule Variance Log'!E:E,"Govt Deliverable")</f>
        <v>0</v>
      </c>
      <c r="E11" s="43" t="n">
        <f aca="false">COUNTIFS('Schedule Variance Log'!K:K,A11,'Schedule Variance Log'!E:E,"Phase Gate")</f>
        <v>0</v>
      </c>
      <c r="F11" s="45" t="s">
        <v>158</v>
      </c>
    </row>
    <row r="13" customFormat="false" ht="24" hidden="false" customHeight="true" outlineLevel="0" collapsed="false">
      <c r="A13" s="21" t="s">
        <v>159</v>
      </c>
      <c r="B13" s="21"/>
      <c r="C13" s="21"/>
      <c r="D13" s="21"/>
      <c r="E13" s="21"/>
      <c r="F13" s="21"/>
    </row>
    <row r="14" customFormat="false" ht="36" hidden="false" customHeight="true" outlineLevel="0" collapsed="false">
      <c r="A14" s="11" t="s">
        <v>41</v>
      </c>
      <c r="B14" s="11" t="s">
        <v>160</v>
      </c>
      <c r="C14" s="11" t="s">
        <v>161</v>
      </c>
      <c r="D14" s="11" t="s">
        <v>28</v>
      </c>
      <c r="E14" s="11" t="s">
        <v>25</v>
      </c>
      <c r="F14" s="11" t="s">
        <v>162</v>
      </c>
    </row>
    <row r="15" customFormat="false" ht="24" hidden="false" customHeight="true" outlineLevel="0" collapsed="false">
      <c r="A15" s="5" t="s">
        <v>87</v>
      </c>
      <c r="B15" s="18" t="n">
        <f aca="false">COUNTIF('Schedule Variance Log'!C:C,A15)</f>
        <v>1</v>
      </c>
      <c r="C15" s="18" t="n">
        <f aca="false">COUNTIFS('Schedule Variance Log'!C:C,A15,'Schedule Variance Log'!K:K,"On Track")+COUNTIFS('Schedule Variance Log'!C:C,A15,'Schedule Variance Log'!K:K,"Complete")</f>
        <v>1</v>
      </c>
      <c r="D15" s="18" t="n">
        <f aca="false">COUNTIFS('Schedule Variance Log'!C:C,A15,'Schedule Variance Log'!K:K,"Slipped")</f>
        <v>0</v>
      </c>
      <c r="E15" s="18" t="n">
        <f aca="false">COUNTIFS('Schedule Variance Log'!C:C,A15,'Schedule Variance Log'!K:K,"At Risk")</f>
        <v>0</v>
      </c>
      <c r="F15" s="46" t="n">
        <f aca="false">IFERROR(AVERAGEIFS('Schedule Variance Log'!I:I,'Schedule Variance Log'!C:C,A15,'Schedule Variance Log'!I:I,"&gt;0"),0)</f>
        <v>0</v>
      </c>
    </row>
    <row r="16" customFormat="false" ht="24" hidden="false" customHeight="true" outlineLevel="0" collapsed="false">
      <c r="A16" s="7" t="s">
        <v>124</v>
      </c>
      <c r="B16" s="20" t="n">
        <f aca="false">COUNTIF('Schedule Variance Log'!C:C,A16)</f>
        <v>1</v>
      </c>
      <c r="C16" s="20" t="n">
        <f aca="false">COUNTIFS('Schedule Variance Log'!C:C,A16,'Schedule Variance Log'!K:K,"On Track")+COUNTIFS('Schedule Variance Log'!C:C,A16,'Schedule Variance Log'!K:K,"Complete")</f>
        <v>0</v>
      </c>
      <c r="D16" s="20" t="n">
        <f aca="false">COUNTIFS('Schedule Variance Log'!C:C,A16,'Schedule Variance Log'!K:K,"Slipped")</f>
        <v>0</v>
      </c>
      <c r="E16" s="20" t="n">
        <f aca="false">COUNTIFS('Schedule Variance Log'!C:C,A16,'Schedule Variance Log'!K:K,"At Risk")</f>
        <v>1</v>
      </c>
      <c r="F16" s="47" t="n">
        <f aca="false">IFERROR(AVERAGEIFS('Schedule Variance Log'!I:I,'Schedule Variance Log'!C:C,A16,'Schedule Variance Log'!I:I,"&gt;0"),0)</f>
        <v>0</v>
      </c>
    </row>
    <row r="17" customFormat="false" ht="24" hidden="false" customHeight="true" outlineLevel="0" collapsed="false">
      <c r="A17" s="5" t="s">
        <v>101</v>
      </c>
      <c r="B17" s="18" t="n">
        <f aca="false">COUNTIF('Schedule Variance Log'!C:C,A17)</f>
        <v>2</v>
      </c>
      <c r="C17" s="18" t="n">
        <f aca="false">COUNTIFS('Schedule Variance Log'!C:C,A17,'Schedule Variance Log'!K:K,"On Track")+COUNTIFS('Schedule Variance Log'!C:C,A17,'Schedule Variance Log'!K:K,"Complete")</f>
        <v>0</v>
      </c>
      <c r="D17" s="18" t="n">
        <f aca="false">COUNTIFS('Schedule Variance Log'!C:C,A17,'Schedule Variance Log'!K:K,"Slipped")</f>
        <v>2</v>
      </c>
      <c r="E17" s="18" t="n">
        <f aca="false">COUNTIFS('Schedule Variance Log'!C:C,A17,'Schedule Variance Log'!K:K,"At Risk")</f>
        <v>0</v>
      </c>
      <c r="F17" s="46" t="n">
        <f aca="false">IFERROR(AVERAGEIFS('Schedule Variance Log'!I:I,'Schedule Variance Log'!C:C,A17,'Schedule Variance Log'!I:I,"&gt;0"),0)</f>
        <v>0</v>
      </c>
    </row>
    <row r="18" customFormat="false" ht="24" hidden="false" customHeight="true" outlineLevel="0" collapsed="false">
      <c r="A18" s="7" t="s">
        <v>114</v>
      </c>
      <c r="B18" s="20" t="n">
        <f aca="false">COUNTIF('Schedule Variance Log'!C:C,A18)</f>
        <v>1</v>
      </c>
      <c r="C18" s="20" t="n">
        <f aca="false">COUNTIFS('Schedule Variance Log'!C:C,A18,'Schedule Variance Log'!K:K,"On Track")+COUNTIFS('Schedule Variance Log'!C:C,A18,'Schedule Variance Log'!K:K,"Complete")</f>
        <v>0</v>
      </c>
      <c r="D18" s="20" t="n">
        <f aca="false">COUNTIFS('Schedule Variance Log'!C:C,A18,'Schedule Variance Log'!K:K,"Slipped")</f>
        <v>1</v>
      </c>
      <c r="E18" s="20" t="n">
        <f aca="false">COUNTIFS('Schedule Variance Log'!C:C,A18,'Schedule Variance Log'!K:K,"At Risk")</f>
        <v>0</v>
      </c>
      <c r="F18" s="47" t="n">
        <f aca="false">IFERROR(AVERAGEIFS('Schedule Variance Log'!I:I,'Schedule Variance Log'!C:C,A18,'Schedule Variance Log'!I:I,"&gt;0"),0)</f>
        <v>0</v>
      </c>
    </row>
    <row r="19" customFormat="false" ht="24" hidden="false" customHeight="true" outlineLevel="0" collapsed="false">
      <c r="A19" s="5" t="s">
        <v>134</v>
      </c>
      <c r="B19" s="18" t="n">
        <f aca="false">COUNTIF('Schedule Variance Log'!C:C,A19)</f>
        <v>1</v>
      </c>
      <c r="C19" s="18" t="n">
        <f aca="false">COUNTIFS('Schedule Variance Log'!C:C,A19,'Schedule Variance Log'!K:K,"On Track")+COUNTIFS('Schedule Variance Log'!C:C,A19,'Schedule Variance Log'!K:K,"Complete")</f>
        <v>1</v>
      </c>
      <c r="D19" s="18" t="n">
        <f aca="false">COUNTIFS('Schedule Variance Log'!C:C,A19,'Schedule Variance Log'!K:K,"Slipped")</f>
        <v>0</v>
      </c>
      <c r="E19" s="18" t="n">
        <f aca="false">COUNTIFS('Schedule Variance Log'!C:C,A19,'Schedule Variance Log'!K:K,"At Risk")</f>
        <v>0</v>
      </c>
      <c r="F19" s="46" t="n">
        <f aca="false">IFERROR(AVERAGEIFS('Schedule Variance Log'!I:I,'Schedule Variance Log'!C:C,A19,'Schedule Variance Log'!I:I,"&gt;0"),0)</f>
        <v>0</v>
      </c>
    </row>
    <row r="20" customFormat="false" ht="24" hidden="false" customHeight="true" outlineLevel="0" collapsed="false">
      <c r="A20" s="7" t="s">
        <v>163</v>
      </c>
      <c r="B20" s="20" t="n">
        <f aca="false">COUNTIF('Schedule Variance Log'!C:C,A20)</f>
        <v>0</v>
      </c>
      <c r="C20" s="20" t="n">
        <f aca="false">COUNTIFS('Schedule Variance Log'!C:C,A20,'Schedule Variance Log'!K:K,"On Track")+COUNTIFS('Schedule Variance Log'!C:C,A20,'Schedule Variance Log'!K:K,"Complete")</f>
        <v>0</v>
      </c>
      <c r="D20" s="20" t="n">
        <f aca="false">COUNTIFS('Schedule Variance Log'!C:C,A20,'Schedule Variance Log'!K:K,"Slipped")</f>
        <v>0</v>
      </c>
      <c r="E20" s="20" t="n">
        <f aca="false">COUNTIFS('Schedule Variance Log'!C:C,A20,'Schedule Variance Log'!K:K,"At Risk")</f>
        <v>0</v>
      </c>
      <c r="F20" s="47" t="n">
        <f aca="false">IFERROR(AVERAGEIFS('Schedule Variance Log'!I:I,'Schedule Variance Log'!C:C,A20,'Schedule Variance Log'!I:I,"&gt;0"),0)</f>
        <v>0</v>
      </c>
    </row>
    <row r="22" customFormat="false" ht="24" hidden="false" customHeight="true" outlineLevel="0" collapsed="false">
      <c r="A22" s="48" t="s">
        <v>164</v>
      </c>
      <c r="B22" s="48"/>
      <c r="C22" s="48"/>
      <c r="D22" s="48"/>
      <c r="E22" s="48"/>
      <c r="F22" s="48"/>
    </row>
    <row r="23" customFormat="false" ht="27.75" hidden="false" customHeight="true" outlineLevel="0" collapsed="false">
      <c r="A23" s="11" t="s">
        <v>165</v>
      </c>
      <c r="B23" s="11" t="s">
        <v>166</v>
      </c>
      <c r="C23" s="11" t="s">
        <v>167</v>
      </c>
      <c r="D23" s="11" t="s">
        <v>168</v>
      </c>
      <c r="E23" s="11" t="s">
        <v>169</v>
      </c>
      <c r="F23" s="11" t="s">
        <v>170</v>
      </c>
    </row>
    <row r="24" customFormat="false" ht="25.5" hidden="false" customHeight="true" outlineLevel="0" collapsed="false">
      <c r="A24" s="22" t="str">
        <f aca="true">IFERROR(INDEX('Schedule Variance Log'!A:A,MATCH("Slipped",OFFSET('Schedule Variance Log'!K$6,0,0,ROWS('Schedule Variance Log'!K$6:K$500),1),0)+4),"—")</f>
        <v>M-003</v>
      </c>
      <c r="B24" s="25"/>
      <c r="C24" s="25"/>
      <c r="D24" s="25"/>
      <c r="E24" s="25"/>
      <c r="F24" s="25"/>
    </row>
    <row r="25" customFormat="false" ht="25.5" hidden="false" customHeight="true" outlineLevel="0" collapsed="false">
      <c r="A25" s="22" t="str">
        <f aca="true">IFERROR(INDEX('Schedule Variance Log'!A:A,MATCH("Slipped",OFFSET('Schedule Variance Log'!K$6,1,0,ROWS('Schedule Variance Log'!K$6:K$500),1),0)+5),"—")</f>
        <v>M-003</v>
      </c>
      <c r="B25" s="25"/>
      <c r="C25" s="25"/>
      <c r="D25" s="25"/>
      <c r="E25" s="25"/>
      <c r="F25" s="25"/>
    </row>
    <row r="26" customFormat="false" ht="25.5" hidden="false" customHeight="true" outlineLevel="0" collapsed="false">
      <c r="A26" s="22" t="str">
        <f aca="true">IFERROR(INDEX('Schedule Variance Log'!A:A,MATCH("Slipped",OFFSET('Schedule Variance Log'!K$6,2,0,ROWS('Schedule Variance Log'!K$6:K$500),1),0)+6),"—")</f>
        <v>M-003</v>
      </c>
      <c r="B26" s="25"/>
      <c r="C26" s="25"/>
      <c r="D26" s="25"/>
      <c r="E26" s="25"/>
      <c r="F26" s="25"/>
    </row>
    <row r="27" customFormat="false" ht="25.5" hidden="false" customHeight="true" outlineLevel="0" collapsed="false">
      <c r="A27" s="22" t="str">
        <f aca="true">IFERROR(INDEX('Schedule Variance Log'!A:A,MATCH("Slipped",OFFSET('Schedule Variance Log'!K$6,3,0,ROWS('Schedule Variance Log'!K$6:K$500),1),0)+7),"—")</f>
        <v>M-003</v>
      </c>
      <c r="B27" s="25"/>
      <c r="C27" s="25"/>
      <c r="D27" s="25"/>
      <c r="E27" s="25"/>
      <c r="F27" s="25"/>
    </row>
    <row r="28" customFormat="false" ht="25.5" hidden="false" customHeight="true" outlineLevel="0" collapsed="false">
      <c r="A28" s="22" t="str">
        <f aca="true">IFERROR(INDEX('Schedule Variance Log'!A:A,MATCH("Slipped",OFFSET('Schedule Variance Log'!K$6,4,0,ROWS('Schedule Variance Log'!K$6:K$500),1),0)+8),"—")</f>
        <v>M-004</v>
      </c>
      <c r="B28" s="25"/>
      <c r="C28" s="25"/>
      <c r="D28" s="25"/>
      <c r="E28" s="25"/>
      <c r="F28" s="25"/>
    </row>
  </sheetData>
  <mergeCells count="5">
    <mergeCell ref="A1:F1"/>
    <mergeCell ref="A2:F2"/>
    <mergeCell ref="A4:F4"/>
    <mergeCell ref="A13:F13"/>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2026-06-24T01:58:04Z</dcterms:created>
  <dc:creator>openpyxl</dc:creator>
  <dc:description/>
  <dc:language>en-US</dc:language>
  <cp:lastModifiedBy/>
  <dcterms:modified xsi:type="dcterms:W3CDTF">2026-06-24T01:58:04Z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