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ianaCarter\Downloads\"/>
    </mc:Choice>
  </mc:AlternateContent>
  <xr:revisionPtr revIDLastSave="0" documentId="8_{51F4A9A4-93C8-4ED4-AAC4-30FAD1DACE0C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📋 Instructions" sheetId="1" r:id="rId1"/>
    <sheet name="⚙️ Setup" sheetId="2" r:id="rId2"/>
    <sheet name="📝 Mod Tracker" sheetId="3" r:id="rId3"/>
    <sheet name="💼 Labor Forecast" sheetId="4" r:id="rId4"/>
    <sheet name="📅 Mar" sheetId="5" r:id="rId5"/>
    <sheet name="📅 Apr" sheetId="6" r:id="rId6"/>
    <sheet name="📅 May" sheetId="7" r:id="rId7"/>
    <sheet name="📅 Jun" sheetId="8" r:id="rId8"/>
    <sheet name="📅 Jul" sheetId="9" r:id="rId9"/>
    <sheet name="📅 Aug" sheetId="10" r:id="rId10"/>
    <sheet name="📅 Sep" sheetId="11" r:id="rId11"/>
    <sheet name="📅 Oct" sheetId="12" r:id="rId12"/>
    <sheet name="📅 Nov" sheetId="13" r:id="rId13"/>
    <sheet name="📅 Dec" sheetId="14" r:id="rId14"/>
    <sheet name="📅 Jan" sheetId="15" r:id="rId15"/>
    <sheet name="📅 Feb-E" sheetId="16" r:id="rId16"/>
    <sheet name="📊 Burn Summary" sheetId="17" r:id="rId17"/>
    <sheet name="📈 CLIN Charts" sheetId="18" r:id="rId18"/>
    <sheet name="📊 Overall Chart" sheetId="19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4" i="18" l="1" a="1"/>
  <c r="C144" i="18" s="1"/>
  <c r="C143" i="18" a="1"/>
  <c r="C143" i="18" s="1"/>
  <c r="C128" i="18" a="1"/>
  <c r="C128" i="18" s="1"/>
  <c r="C112" i="18" a="1"/>
  <c r="C112" i="18" s="1"/>
  <c r="C111" i="18" a="1"/>
  <c r="C111" i="18" s="1"/>
  <c r="C96" i="18" a="1"/>
  <c r="C96" i="18" s="1"/>
  <c r="C95" i="18" a="1"/>
  <c r="C95" i="18" s="1"/>
  <c r="C80" i="18" a="1"/>
  <c r="C80" i="18" s="1"/>
  <c r="C79" i="18" a="1"/>
  <c r="C79" i="18" s="1"/>
  <c r="C64" i="18" a="1"/>
  <c r="C64" i="18" s="1"/>
  <c r="C63" i="18" a="1"/>
  <c r="C63" i="18" s="1"/>
  <c r="C48" i="18" a="1"/>
  <c r="C48" i="18" s="1"/>
  <c r="C47" i="18" a="1"/>
  <c r="C47" i="18" s="1"/>
  <c r="C32" i="18" a="1"/>
  <c r="C32" i="18" s="1"/>
  <c r="C31" i="18" a="1"/>
  <c r="C31" i="18" s="1"/>
  <c r="C16" i="18" a="1"/>
  <c r="C16" i="18" s="1"/>
  <c r="C15" i="18" a="1"/>
  <c r="C15" i="18" s="1"/>
  <c r="C127" i="18" a="1"/>
  <c r="C127" i="18" s="1"/>
  <c r="AW7" i="3"/>
  <c r="AP8" i="3"/>
  <c r="AN11" i="3" s="1"/>
  <c r="AP11" i="3" s="1"/>
  <c r="AN15" i="3" s="1"/>
  <c r="AP15" i="3" s="1"/>
  <c r="AN19" i="3" s="1"/>
  <c r="AP19" i="3" s="1"/>
  <c r="AN23" i="3" s="1"/>
  <c r="AP23" i="3" s="1"/>
  <c r="AN27" i="3" s="1"/>
  <c r="AP27" i="3" s="1"/>
  <c r="AN31" i="3" s="1"/>
  <c r="AP31" i="3" s="1"/>
  <c r="AN35" i="3" s="1"/>
  <c r="AP35" i="3" s="1"/>
  <c r="AN39" i="3" s="1"/>
  <c r="AP39" i="3" s="1"/>
  <c r="AN43" i="3" s="1"/>
  <c r="AP43" i="3" s="1"/>
  <c r="AN47" i="3" s="1"/>
  <c r="AP47" i="3" s="1"/>
  <c r="AN51" i="3" s="1"/>
  <c r="AP51" i="3" s="1"/>
  <c r="AN55" i="3" s="1"/>
  <c r="AP55" i="3" s="1"/>
  <c r="AN59" i="3" s="1"/>
  <c r="AP59" i="3" s="1"/>
  <c r="AN63" i="3" s="1"/>
  <c r="AP63" i="3" s="1"/>
  <c r="AN67" i="3" s="1"/>
  <c r="AP67" i="3" s="1"/>
  <c r="AN71" i="3" s="1"/>
  <c r="AP71" i="3" s="1"/>
  <c r="AN75" i="3" s="1"/>
  <c r="AP75" i="3" s="1"/>
  <c r="AN79" i="3" s="1"/>
  <c r="AP79" i="3" s="1"/>
  <c r="AN83" i="3" s="1"/>
  <c r="AP83" i="3" s="1"/>
  <c r="AN87" i="3" s="1"/>
  <c r="AP87" i="3" s="1"/>
  <c r="AN91" i="3" s="1"/>
  <c r="AP91" i="3" s="1"/>
  <c r="AN95" i="3" s="1"/>
  <c r="AP95" i="3" s="1"/>
  <c r="AN99" i="3" s="1"/>
  <c r="AP99" i="3" s="1"/>
  <c r="AN103" i="3" s="1"/>
  <c r="AP103" i="3" s="1"/>
  <c r="AN107" i="3" s="1"/>
  <c r="AP107" i="3" s="1"/>
  <c r="AP112" i="3" s="1"/>
  <c r="AP7" i="3"/>
  <c r="AN10" i="3" s="1"/>
  <c r="AP10" i="3" s="1"/>
  <c r="AN14" i="3" s="1"/>
  <c r="AP14" i="3" s="1"/>
  <c r="AN18" i="3" s="1"/>
  <c r="AP18" i="3" s="1"/>
  <c r="AN22" i="3" s="1"/>
  <c r="AP22" i="3" s="1"/>
  <c r="AN26" i="3" s="1"/>
  <c r="AP26" i="3" s="1"/>
  <c r="AN30" i="3" s="1"/>
  <c r="AP30" i="3" s="1"/>
  <c r="AN34" i="3" s="1"/>
  <c r="AP34" i="3" s="1"/>
  <c r="AN38" i="3" s="1"/>
  <c r="AP38" i="3" s="1"/>
  <c r="AN42" i="3" s="1"/>
  <c r="AP42" i="3" s="1"/>
  <c r="AN46" i="3" s="1"/>
  <c r="AP46" i="3" s="1"/>
  <c r="AN50" i="3" s="1"/>
  <c r="AP50" i="3" s="1"/>
  <c r="AN54" i="3" s="1"/>
  <c r="AP54" i="3" s="1"/>
  <c r="AN58" i="3" s="1"/>
  <c r="AP58" i="3" s="1"/>
  <c r="AN62" i="3" s="1"/>
  <c r="AP62" i="3" s="1"/>
  <c r="AN66" i="3" s="1"/>
  <c r="AP66" i="3" s="1"/>
  <c r="AN70" i="3" s="1"/>
  <c r="AP70" i="3" s="1"/>
  <c r="AN74" i="3" s="1"/>
  <c r="AP74" i="3" s="1"/>
  <c r="AN78" i="3" s="1"/>
  <c r="AP78" i="3" s="1"/>
  <c r="AN82" i="3" s="1"/>
  <c r="AP82" i="3" s="1"/>
  <c r="AN86" i="3" s="1"/>
  <c r="AP86" i="3" s="1"/>
  <c r="AN90" i="3" s="1"/>
  <c r="AP90" i="3" s="1"/>
  <c r="AN94" i="3" s="1"/>
  <c r="AP94" i="3" s="1"/>
  <c r="AN98" i="3" s="1"/>
  <c r="AP98" i="3" s="1"/>
  <c r="AN102" i="3" s="1"/>
  <c r="AP102" i="3" s="1"/>
  <c r="AN106" i="3" s="1"/>
  <c r="AP106" i="3" s="1"/>
  <c r="AP111" i="3" s="1"/>
  <c r="D34" i="17" l="1"/>
  <c r="C34" i="17"/>
  <c r="B34" i="17"/>
  <c r="D33" i="17"/>
  <c r="C33" i="17"/>
  <c r="B33" i="17"/>
  <c r="D32" i="17"/>
  <c r="C32" i="17"/>
  <c r="B32" i="17"/>
  <c r="D31" i="17"/>
  <c r="C31" i="17"/>
  <c r="B31" i="17"/>
  <c r="D30" i="17"/>
  <c r="C30" i="17"/>
  <c r="B30" i="17"/>
  <c r="D29" i="17"/>
  <c r="C29" i="17"/>
  <c r="B29" i="17"/>
  <c r="D28" i="17"/>
  <c r="C28" i="17"/>
  <c r="B28" i="17"/>
  <c r="D27" i="17"/>
  <c r="C27" i="17"/>
  <c r="B27" i="17"/>
  <c r="D26" i="17"/>
  <c r="C26" i="17"/>
  <c r="B26" i="17"/>
  <c r="F16" i="16"/>
  <c r="D21" i="17" s="1"/>
  <c r="E16" i="16"/>
  <c r="C21" i="17" s="1"/>
  <c r="G15" i="16"/>
  <c r="I15" i="16" s="1"/>
  <c r="D15" i="16"/>
  <c r="C15" i="16"/>
  <c r="B15" i="16"/>
  <c r="G14" i="16"/>
  <c r="I14" i="16" s="1"/>
  <c r="D14" i="16"/>
  <c r="C14" i="16"/>
  <c r="B14" i="16"/>
  <c r="G13" i="16"/>
  <c r="I13" i="16" s="1"/>
  <c r="D13" i="16"/>
  <c r="C13" i="16"/>
  <c r="B13" i="16"/>
  <c r="G12" i="16"/>
  <c r="I12" i="16" s="1"/>
  <c r="D12" i="16"/>
  <c r="C12" i="16"/>
  <c r="B12" i="16"/>
  <c r="G11" i="16"/>
  <c r="I11" i="16" s="1"/>
  <c r="D11" i="16"/>
  <c r="C11" i="16"/>
  <c r="B11" i="16"/>
  <c r="G10" i="16"/>
  <c r="D10" i="16"/>
  <c r="C10" i="16"/>
  <c r="B10" i="16"/>
  <c r="G9" i="16"/>
  <c r="D9" i="16"/>
  <c r="C9" i="16"/>
  <c r="B9" i="16"/>
  <c r="G8" i="16"/>
  <c r="D8" i="16"/>
  <c r="C8" i="16"/>
  <c r="B8" i="16"/>
  <c r="G7" i="16"/>
  <c r="I7" i="16" s="1"/>
  <c r="D7" i="16"/>
  <c r="C7" i="16"/>
  <c r="B7" i="16"/>
  <c r="F16" i="15"/>
  <c r="D20" i="17" s="1"/>
  <c r="E16" i="15"/>
  <c r="C20" i="17" s="1"/>
  <c r="G15" i="15"/>
  <c r="I15" i="15" s="1"/>
  <c r="D15" i="15"/>
  <c r="C15" i="15"/>
  <c r="B15" i="15"/>
  <c r="G14" i="15"/>
  <c r="I14" i="15" s="1"/>
  <c r="D14" i="15"/>
  <c r="C14" i="15"/>
  <c r="B14" i="15"/>
  <c r="G13" i="15"/>
  <c r="I13" i="15" s="1"/>
  <c r="D13" i="15"/>
  <c r="C13" i="15"/>
  <c r="B13" i="15"/>
  <c r="G12" i="15"/>
  <c r="I12" i="15" s="1"/>
  <c r="D12" i="15"/>
  <c r="C12" i="15"/>
  <c r="B12" i="15"/>
  <c r="G11" i="15"/>
  <c r="I11" i="15" s="1"/>
  <c r="D11" i="15"/>
  <c r="C11" i="15"/>
  <c r="B11" i="15"/>
  <c r="G10" i="15"/>
  <c r="D10" i="15"/>
  <c r="C10" i="15"/>
  <c r="B10" i="15"/>
  <c r="G9" i="15"/>
  <c r="D9" i="15"/>
  <c r="C9" i="15"/>
  <c r="B9" i="15"/>
  <c r="G8" i="15"/>
  <c r="D8" i="15"/>
  <c r="C8" i="15"/>
  <c r="B8" i="15"/>
  <c r="G7" i="15"/>
  <c r="I7" i="15" s="1"/>
  <c r="D7" i="15"/>
  <c r="C7" i="15"/>
  <c r="B7" i="15"/>
  <c r="F16" i="14"/>
  <c r="D19" i="17" s="1"/>
  <c r="E16" i="14"/>
  <c r="C19" i="17" s="1"/>
  <c r="G15" i="14"/>
  <c r="I15" i="14" s="1"/>
  <c r="D15" i="14"/>
  <c r="C15" i="14"/>
  <c r="B15" i="14"/>
  <c r="G14" i="14"/>
  <c r="I14" i="14" s="1"/>
  <c r="D14" i="14"/>
  <c r="C14" i="14"/>
  <c r="B14" i="14"/>
  <c r="G13" i="14"/>
  <c r="I13" i="14" s="1"/>
  <c r="D13" i="14"/>
  <c r="C13" i="14"/>
  <c r="B13" i="14"/>
  <c r="G12" i="14"/>
  <c r="I12" i="14" s="1"/>
  <c r="D12" i="14"/>
  <c r="C12" i="14"/>
  <c r="B12" i="14"/>
  <c r="G11" i="14"/>
  <c r="I11" i="14" s="1"/>
  <c r="D11" i="14"/>
  <c r="C11" i="14"/>
  <c r="B11" i="14"/>
  <c r="G10" i="14"/>
  <c r="D10" i="14"/>
  <c r="C10" i="14"/>
  <c r="B10" i="14"/>
  <c r="G9" i="14"/>
  <c r="D9" i="14"/>
  <c r="C9" i="14"/>
  <c r="B9" i="14"/>
  <c r="G8" i="14"/>
  <c r="D8" i="14"/>
  <c r="C8" i="14"/>
  <c r="B8" i="14"/>
  <c r="G7" i="14"/>
  <c r="I7" i="14" s="1"/>
  <c r="D7" i="14"/>
  <c r="C7" i="14"/>
  <c r="B7" i="14"/>
  <c r="F16" i="13"/>
  <c r="D18" i="17" s="1"/>
  <c r="E16" i="13"/>
  <c r="C18" i="17" s="1"/>
  <c r="G15" i="13"/>
  <c r="I15" i="13" s="1"/>
  <c r="D15" i="13"/>
  <c r="C15" i="13"/>
  <c r="B15" i="13"/>
  <c r="G14" i="13"/>
  <c r="I14" i="13" s="1"/>
  <c r="D14" i="13"/>
  <c r="C14" i="13"/>
  <c r="B14" i="13"/>
  <c r="G13" i="13"/>
  <c r="I13" i="13" s="1"/>
  <c r="D13" i="13"/>
  <c r="C13" i="13"/>
  <c r="B13" i="13"/>
  <c r="G12" i="13"/>
  <c r="I12" i="13" s="1"/>
  <c r="D12" i="13"/>
  <c r="C12" i="13"/>
  <c r="B12" i="13"/>
  <c r="G11" i="13"/>
  <c r="I11" i="13" s="1"/>
  <c r="D11" i="13"/>
  <c r="C11" i="13"/>
  <c r="B11" i="13"/>
  <c r="G10" i="13"/>
  <c r="D10" i="13"/>
  <c r="C10" i="13"/>
  <c r="B10" i="13"/>
  <c r="G9" i="13"/>
  <c r="D9" i="13"/>
  <c r="C9" i="13"/>
  <c r="B9" i="13"/>
  <c r="G8" i="13"/>
  <c r="D8" i="13"/>
  <c r="C8" i="13"/>
  <c r="B8" i="13"/>
  <c r="G7" i="13"/>
  <c r="I7" i="13" s="1"/>
  <c r="D7" i="13"/>
  <c r="C7" i="13"/>
  <c r="B7" i="13"/>
  <c r="F16" i="12"/>
  <c r="D17" i="17" s="1"/>
  <c r="E16" i="12"/>
  <c r="C17" i="17" s="1"/>
  <c r="G15" i="12"/>
  <c r="I15" i="12" s="1"/>
  <c r="D15" i="12"/>
  <c r="C15" i="12"/>
  <c r="B15" i="12"/>
  <c r="G14" i="12"/>
  <c r="I14" i="12" s="1"/>
  <c r="D14" i="12"/>
  <c r="C14" i="12"/>
  <c r="B14" i="12"/>
  <c r="G13" i="12"/>
  <c r="I13" i="12" s="1"/>
  <c r="D13" i="12"/>
  <c r="C13" i="12"/>
  <c r="B13" i="12"/>
  <c r="G12" i="12"/>
  <c r="I12" i="12" s="1"/>
  <c r="D12" i="12"/>
  <c r="C12" i="12"/>
  <c r="B12" i="12"/>
  <c r="G11" i="12"/>
  <c r="I11" i="12" s="1"/>
  <c r="D11" i="12"/>
  <c r="C11" i="12"/>
  <c r="B11" i="12"/>
  <c r="G10" i="12"/>
  <c r="D10" i="12"/>
  <c r="C10" i="12"/>
  <c r="B10" i="12"/>
  <c r="G9" i="12"/>
  <c r="D9" i="12"/>
  <c r="C9" i="12"/>
  <c r="B9" i="12"/>
  <c r="G8" i="12"/>
  <c r="D8" i="12"/>
  <c r="C8" i="12"/>
  <c r="B8" i="12"/>
  <c r="G7" i="12"/>
  <c r="I7" i="12" s="1"/>
  <c r="D7" i="12"/>
  <c r="C7" i="12"/>
  <c r="B7" i="12"/>
  <c r="F16" i="11"/>
  <c r="D16" i="17" s="1"/>
  <c r="E16" i="11"/>
  <c r="C16" i="17" s="1"/>
  <c r="G15" i="11"/>
  <c r="I15" i="11" s="1"/>
  <c r="D15" i="11"/>
  <c r="C15" i="11"/>
  <c r="B15" i="11"/>
  <c r="G14" i="11"/>
  <c r="I14" i="11" s="1"/>
  <c r="D14" i="11"/>
  <c r="C14" i="11"/>
  <c r="B14" i="11"/>
  <c r="G13" i="11"/>
  <c r="I13" i="11" s="1"/>
  <c r="D13" i="11"/>
  <c r="C13" i="11"/>
  <c r="B13" i="11"/>
  <c r="G12" i="11"/>
  <c r="I12" i="11" s="1"/>
  <c r="D12" i="11"/>
  <c r="C12" i="11"/>
  <c r="B12" i="11"/>
  <c r="G11" i="11"/>
  <c r="I11" i="11" s="1"/>
  <c r="D11" i="11"/>
  <c r="C11" i="11"/>
  <c r="B11" i="11"/>
  <c r="G10" i="11"/>
  <c r="D10" i="11"/>
  <c r="C10" i="11"/>
  <c r="B10" i="11"/>
  <c r="G9" i="11"/>
  <c r="D9" i="11"/>
  <c r="C9" i="11"/>
  <c r="B9" i="11"/>
  <c r="G8" i="11"/>
  <c r="D8" i="11"/>
  <c r="C8" i="11"/>
  <c r="B8" i="11"/>
  <c r="G7" i="11"/>
  <c r="D7" i="11"/>
  <c r="C7" i="11"/>
  <c r="B7" i="11"/>
  <c r="F16" i="10"/>
  <c r="D15" i="17" s="1"/>
  <c r="E16" i="10"/>
  <c r="C15" i="17" s="1"/>
  <c r="G15" i="10"/>
  <c r="I15" i="10" s="1"/>
  <c r="D15" i="10"/>
  <c r="C15" i="10"/>
  <c r="B15" i="10"/>
  <c r="G14" i="10"/>
  <c r="I14" i="10" s="1"/>
  <c r="D14" i="10"/>
  <c r="C14" i="10"/>
  <c r="B14" i="10"/>
  <c r="G13" i="10"/>
  <c r="I13" i="10" s="1"/>
  <c r="D13" i="10"/>
  <c r="C13" i="10"/>
  <c r="B13" i="10"/>
  <c r="G12" i="10"/>
  <c r="I12" i="10" s="1"/>
  <c r="D12" i="10"/>
  <c r="C12" i="10"/>
  <c r="B12" i="10"/>
  <c r="G11" i="10"/>
  <c r="I11" i="10" s="1"/>
  <c r="D11" i="10"/>
  <c r="C11" i="10"/>
  <c r="B11" i="10"/>
  <c r="G10" i="10"/>
  <c r="D10" i="10"/>
  <c r="C10" i="10"/>
  <c r="B10" i="10"/>
  <c r="G9" i="10"/>
  <c r="D9" i="10"/>
  <c r="C9" i="10"/>
  <c r="B9" i="10"/>
  <c r="G8" i="10"/>
  <c r="D8" i="10"/>
  <c r="C8" i="10"/>
  <c r="B8" i="10"/>
  <c r="G7" i="10"/>
  <c r="D7" i="10"/>
  <c r="C7" i="10"/>
  <c r="B7" i="10"/>
  <c r="F16" i="9"/>
  <c r="D14" i="17" s="1"/>
  <c r="E16" i="9"/>
  <c r="C14" i="17" s="1"/>
  <c r="G15" i="9"/>
  <c r="I15" i="9" s="1"/>
  <c r="D15" i="9"/>
  <c r="C15" i="9"/>
  <c r="B15" i="9"/>
  <c r="G14" i="9"/>
  <c r="I14" i="9" s="1"/>
  <c r="D14" i="9"/>
  <c r="C14" i="9"/>
  <c r="B14" i="9"/>
  <c r="G13" i="9"/>
  <c r="I13" i="9" s="1"/>
  <c r="D13" i="9"/>
  <c r="C13" i="9"/>
  <c r="B13" i="9"/>
  <c r="G12" i="9"/>
  <c r="I12" i="9" s="1"/>
  <c r="D12" i="9"/>
  <c r="C12" i="9"/>
  <c r="B12" i="9"/>
  <c r="G11" i="9"/>
  <c r="I11" i="9" s="1"/>
  <c r="D11" i="9"/>
  <c r="C11" i="9"/>
  <c r="B11" i="9"/>
  <c r="G10" i="9"/>
  <c r="D10" i="9"/>
  <c r="C10" i="9"/>
  <c r="B10" i="9"/>
  <c r="G9" i="9"/>
  <c r="D9" i="9"/>
  <c r="C9" i="9"/>
  <c r="B9" i="9"/>
  <c r="G8" i="9"/>
  <c r="D8" i="9"/>
  <c r="C8" i="9"/>
  <c r="B8" i="9"/>
  <c r="G7" i="9"/>
  <c r="I7" i="9" s="1"/>
  <c r="D7" i="9"/>
  <c r="C7" i="9"/>
  <c r="B7" i="9"/>
  <c r="F16" i="8"/>
  <c r="D13" i="17" s="1"/>
  <c r="E16" i="8"/>
  <c r="C13" i="17" s="1"/>
  <c r="G15" i="8"/>
  <c r="I15" i="8" s="1"/>
  <c r="D15" i="8"/>
  <c r="C15" i="8"/>
  <c r="B15" i="8"/>
  <c r="G14" i="8"/>
  <c r="I14" i="8" s="1"/>
  <c r="D14" i="8"/>
  <c r="C14" i="8"/>
  <c r="B14" i="8"/>
  <c r="G13" i="8"/>
  <c r="I13" i="8" s="1"/>
  <c r="D13" i="8"/>
  <c r="C13" i="8"/>
  <c r="B13" i="8"/>
  <c r="G12" i="8"/>
  <c r="I12" i="8" s="1"/>
  <c r="D12" i="8"/>
  <c r="C12" i="8"/>
  <c r="B12" i="8"/>
  <c r="G11" i="8"/>
  <c r="I11" i="8" s="1"/>
  <c r="D11" i="8"/>
  <c r="C11" i="8"/>
  <c r="B11" i="8"/>
  <c r="G10" i="8"/>
  <c r="D10" i="8"/>
  <c r="C10" i="8"/>
  <c r="B10" i="8"/>
  <c r="G9" i="8"/>
  <c r="D9" i="8"/>
  <c r="C9" i="8"/>
  <c r="B9" i="8"/>
  <c r="G8" i="8"/>
  <c r="D8" i="8"/>
  <c r="C8" i="8"/>
  <c r="B8" i="8"/>
  <c r="G7" i="8"/>
  <c r="D7" i="8"/>
  <c r="C7" i="8"/>
  <c r="B7" i="8"/>
  <c r="F16" i="7"/>
  <c r="D12" i="17" s="1"/>
  <c r="E16" i="7"/>
  <c r="C12" i="17" s="1"/>
  <c r="G15" i="7"/>
  <c r="I15" i="7" s="1"/>
  <c r="D15" i="7"/>
  <c r="C15" i="7"/>
  <c r="B15" i="7"/>
  <c r="G14" i="7"/>
  <c r="I14" i="7" s="1"/>
  <c r="D14" i="7"/>
  <c r="C14" i="7"/>
  <c r="B14" i="7"/>
  <c r="G13" i="7"/>
  <c r="I13" i="7" s="1"/>
  <c r="D13" i="7"/>
  <c r="C13" i="7"/>
  <c r="B13" i="7"/>
  <c r="G12" i="7"/>
  <c r="I12" i="7" s="1"/>
  <c r="D12" i="7"/>
  <c r="C12" i="7"/>
  <c r="B12" i="7"/>
  <c r="G11" i="7"/>
  <c r="I11" i="7" s="1"/>
  <c r="D11" i="7"/>
  <c r="C11" i="7"/>
  <c r="B11" i="7"/>
  <c r="G10" i="7"/>
  <c r="D10" i="7"/>
  <c r="C10" i="7"/>
  <c r="B10" i="7"/>
  <c r="G9" i="7"/>
  <c r="D9" i="7"/>
  <c r="C9" i="7"/>
  <c r="B9" i="7"/>
  <c r="G8" i="7"/>
  <c r="D8" i="7"/>
  <c r="C8" i="7"/>
  <c r="B8" i="7"/>
  <c r="G7" i="7"/>
  <c r="I7" i="7" s="1"/>
  <c r="D7" i="7"/>
  <c r="C7" i="7"/>
  <c r="B7" i="7"/>
  <c r="F16" i="6"/>
  <c r="D11" i="17" s="1"/>
  <c r="E16" i="6"/>
  <c r="C11" i="17" s="1"/>
  <c r="G15" i="6"/>
  <c r="I15" i="6" s="1"/>
  <c r="D15" i="6"/>
  <c r="C15" i="6"/>
  <c r="B15" i="6"/>
  <c r="G14" i="6"/>
  <c r="D14" i="6"/>
  <c r="C14" i="6"/>
  <c r="B14" i="6"/>
  <c r="G13" i="6"/>
  <c r="I13" i="6" s="1"/>
  <c r="D13" i="6"/>
  <c r="C13" i="6"/>
  <c r="B13" i="6"/>
  <c r="G12" i="6"/>
  <c r="I12" i="6" s="1"/>
  <c r="D12" i="6"/>
  <c r="C12" i="6"/>
  <c r="B12" i="6"/>
  <c r="G11" i="6"/>
  <c r="I11" i="6" s="1"/>
  <c r="D11" i="6"/>
  <c r="C11" i="6"/>
  <c r="B11" i="6"/>
  <c r="G10" i="6"/>
  <c r="D10" i="6"/>
  <c r="C10" i="6"/>
  <c r="B10" i="6"/>
  <c r="G9" i="6"/>
  <c r="D9" i="6"/>
  <c r="C9" i="6"/>
  <c r="B9" i="6"/>
  <c r="G8" i="6"/>
  <c r="D8" i="6"/>
  <c r="C8" i="6"/>
  <c r="B8" i="6"/>
  <c r="G7" i="6"/>
  <c r="I7" i="6" s="1"/>
  <c r="D7" i="6"/>
  <c r="C7" i="6"/>
  <c r="B7" i="6"/>
  <c r="F16" i="5"/>
  <c r="D10" i="17" s="1"/>
  <c r="E16" i="5"/>
  <c r="C10" i="17" s="1"/>
  <c r="G15" i="5"/>
  <c r="D15" i="5"/>
  <c r="C15" i="5"/>
  <c r="B15" i="5"/>
  <c r="G14" i="5"/>
  <c r="I14" i="5" s="1"/>
  <c r="D14" i="5"/>
  <c r="C14" i="5"/>
  <c r="B14" i="5"/>
  <c r="G13" i="5"/>
  <c r="D13" i="5"/>
  <c r="C13" i="5"/>
  <c r="B13" i="5"/>
  <c r="G12" i="5"/>
  <c r="D12" i="5"/>
  <c r="C12" i="5"/>
  <c r="B12" i="5"/>
  <c r="G11" i="5"/>
  <c r="D11" i="5"/>
  <c r="C11" i="5"/>
  <c r="B11" i="5"/>
  <c r="G10" i="5"/>
  <c r="D10" i="5"/>
  <c r="C10" i="5"/>
  <c r="B10" i="5"/>
  <c r="G9" i="5"/>
  <c r="D9" i="5"/>
  <c r="C9" i="5"/>
  <c r="B9" i="5"/>
  <c r="G8" i="5"/>
  <c r="D8" i="5"/>
  <c r="C8" i="5"/>
  <c r="B8" i="5"/>
  <c r="G7" i="5"/>
  <c r="I7" i="5" s="1"/>
  <c r="D7" i="5"/>
  <c r="C7" i="5"/>
  <c r="B7" i="5"/>
  <c r="AD38" i="4"/>
  <c r="AB38" i="4"/>
  <c r="Z38" i="4"/>
  <c r="X38" i="4"/>
  <c r="V38" i="4"/>
  <c r="T38" i="4"/>
  <c r="R38" i="4"/>
  <c r="P38" i="4"/>
  <c r="N38" i="4"/>
  <c r="L38" i="4"/>
  <c r="J38" i="4"/>
  <c r="AF36" i="4"/>
  <c r="AE36" i="4"/>
  <c r="AC36" i="4"/>
  <c r="AA36" i="4"/>
  <c r="Y36" i="4"/>
  <c r="W36" i="4"/>
  <c r="U36" i="4"/>
  <c r="S36" i="4"/>
  <c r="Q36" i="4"/>
  <c r="O36" i="4"/>
  <c r="M36" i="4"/>
  <c r="K36" i="4"/>
  <c r="I36" i="4"/>
  <c r="AF35" i="4"/>
  <c r="AE35" i="4"/>
  <c r="AC35" i="4"/>
  <c r="AA35" i="4"/>
  <c r="Y35" i="4"/>
  <c r="W35" i="4"/>
  <c r="U35" i="4"/>
  <c r="S35" i="4"/>
  <c r="O35" i="4"/>
  <c r="M35" i="4"/>
  <c r="K35" i="4"/>
  <c r="I35" i="4"/>
  <c r="AF34" i="4"/>
  <c r="AE34" i="4"/>
  <c r="AC34" i="4"/>
  <c r="AA34" i="4"/>
  <c r="Y34" i="4"/>
  <c r="W34" i="4"/>
  <c r="U34" i="4"/>
  <c r="S34" i="4"/>
  <c r="Q34" i="4"/>
  <c r="O34" i="4"/>
  <c r="M34" i="4"/>
  <c r="K34" i="4"/>
  <c r="I34" i="4"/>
  <c r="AF33" i="4"/>
  <c r="AE33" i="4"/>
  <c r="AC33" i="4"/>
  <c r="AA33" i="4"/>
  <c r="Y33" i="4"/>
  <c r="W33" i="4"/>
  <c r="U33" i="4"/>
  <c r="S33" i="4"/>
  <c r="Q33" i="4"/>
  <c r="O33" i="4"/>
  <c r="M33" i="4"/>
  <c r="K33" i="4"/>
  <c r="I33" i="4"/>
  <c r="AD30" i="4"/>
  <c r="AB30" i="4"/>
  <c r="Z30" i="4"/>
  <c r="X30" i="4"/>
  <c r="V30" i="4"/>
  <c r="T30" i="4"/>
  <c r="R30" i="4"/>
  <c r="P30" i="4"/>
  <c r="N30" i="4"/>
  <c r="L30" i="4"/>
  <c r="J30" i="4"/>
  <c r="H30" i="4"/>
  <c r="AF29" i="4"/>
  <c r="AE29" i="4"/>
  <c r="AC29" i="4"/>
  <c r="AA29" i="4"/>
  <c r="Y29" i="4"/>
  <c r="W29" i="4"/>
  <c r="U29" i="4"/>
  <c r="S29" i="4"/>
  <c r="Q29" i="4"/>
  <c r="O29" i="4"/>
  <c r="M29" i="4"/>
  <c r="K29" i="4"/>
  <c r="I29" i="4"/>
  <c r="AF28" i="4"/>
  <c r="I28" i="4"/>
  <c r="AG28" i="4" s="1"/>
  <c r="AF27" i="4"/>
  <c r="AE27" i="4"/>
  <c r="AC27" i="4"/>
  <c r="AA27" i="4"/>
  <c r="Y27" i="4"/>
  <c r="W27" i="4"/>
  <c r="U27" i="4"/>
  <c r="S27" i="4"/>
  <c r="Q27" i="4"/>
  <c r="O27" i="4"/>
  <c r="M27" i="4"/>
  <c r="K27" i="4"/>
  <c r="I27" i="4"/>
  <c r="AF26" i="4"/>
  <c r="AE26" i="4"/>
  <c r="AC26" i="4"/>
  <c r="AA26" i="4"/>
  <c r="Y26" i="4"/>
  <c r="W26" i="4"/>
  <c r="I26" i="4"/>
  <c r="AF25" i="4"/>
  <c r="AE25" i="4"/>
  <c r="AC25" i="4"/>
  <c r="AA25" i="4"/>
  <c r="Y25" i="4"/>
  <c r="W25" i="4"/>
  <c r="U25" i="4"/>
  <c r="S25" i="4"/>
  <c r="Q25" i="4"/>
  <c r="O25" i="4"/>
  <c r="M25" i="4"/>
  <c r="K25" i="4"/>
  <c r="I25" i="4"/>
  <c r="AF24" i="4"/>
  <c r="AE24" i="4"/>
  <c r="AC24" i="4"/>
  <c r="AA24" i="4"/>
  <c r="Y24" i="4"/>
  <c r="W24" i="4"/>
  <c r="U24" i="4"/>
  <c r="S24" i="4"/>
  <c r="Q24" i="4"/>
  <c r="O24" i="4"/>
  <c r="M24" i="4"/>
  <c r="K24" i="4"/>
  <c r="I24" i="4"/>
  <c r="AF23" i="4"/>
  <c r="I23" i="4"/>
  <c r="AG23" i="4" s="1"/>
  <c r="AF22" i="4"/>
  <c r="I22" i="4"/>
  <c r="AG22" i="4" s="1"/>
  <c r="AF21" i="4"/>
  <c r="AE21" i="4"/>
  <c r="AC21" i="4"/>
  <c r="AA21" i="4"/>
  <c r="Y21" i="4"/>
  <c r="W21" i="4"/>
  <c r="U21" i="4"/>
  <c r="S21" i="4"/>
  <c r="Q21" i="4"/>
  <c r="O21" i="4"/>
  <c r="M21" i="4"/>
  <c r="K21" i="4"/>
  <c r="I21" i="4"/>
  <c r="AF20" i="4"/>
  <c r="AE20" i="4"/>
  <c r="AC20" i="4"/>
  <c r="AA20" i="4"/>
  <c r="Y20" i="4"/>
  <c r="W20" i="4"/>
  <c r="U20" i="4"/>
  <c r="S20" i="4"/>
  <c r="Q20" i="4"/>
  <c r="O20" i="4"/>
  <c r="M20" i="4"/>
  <c r="K20" i="4"/>
  <c r="I20" i="4"/>
  <c r="AD17" i="4"/>
  <c r="AB17" i="4"/>
  <c r="Z17" i="4"/>
  <c r="X17" i="4"/>
  <c r="V17" i="4"/>
  <c r="T17" i="4"/>
  <c r="R17" i="4"/>
  <c r="P17" i="4"/>
  <c r="N17" i="4"/>
  <c r="L17" i="4"/>
  <c r="J17" i="4"/>
  <c r="H17" i="4"/>
  <c r="AE16" i="4"/>
  <c r="AC16" i="4"/>
  <c r="AA16" i="4"/>
  <c r="Y16" i="4"/>
  <c r="W16" i="4"/>
  <c r="U16" i="4"/>
  <c r="S16" i="4"/>
  <c r="Q16" i="4"/>
  <c r="O16" i="4"/>
  <c r="M16" i="4"/>
  <c r="K16" i="4"/>
  <c r="I16" i="4"/>
  <c r="AF15" i="4"/>
  <c r="I15" i="4"/>
  <c r="AG15" i="4" s="1"/>
  <c r="AF14" i="4"/>
  <c r="AE14" i="4"/>
  <c r="AC14" i="4"/>
  <c r="AA14" i="4"/>
  <c r="Y14" i="4"/>
  <c r="W14" i="4"/>
  <c r="U14" i="4"/>
  <c r="S14" i="4"/>
  <c r="Q14" i="4"/>
  <c r="O14" i="4"/>
  <c r="M14" i="4"/>
  <c r="K14" i="4"/>
  <c r="I14" i="4"/>
  <c r="AF13" i="4"/>
  <c r="I13" i="4"/>
  <c r="AG13" i="4" s="1"/>
  <c r="AF12" i="4"/>
  <c r="AE12" i="4"/>
  <c r="AC12" i="4"/>
  <c r="AA12" i="4"/>
  <c r="Y12" i="4"/>
  <c r="W12" i="4"/>
  <c r="I12" i="4"/>
  <c r="AF11" i="4"/>
  <c r="AE11" i="4"/>
  <c r="AC11" i="4"/>
  <c r="AA11" i="4"/>
  <c r="Y11" i="4"/>
  <c r="W11" i="4"/>
  <c r="U11" i="4"/>
  <c r="S11" i="4"/>
  <c r="Q11" i="4"/>
  <c r="O11" i="4"/>
  <c r="M11" i="4"/>
  <c r="K11" i="4"/>
  <c r="I11" i="4"/>
  <c r="AF10" i="4"/>
  <c r="AE10" i="4"/>
  <c r="AC10" i="4"/>
  <c r="AA10" i="4"/>
  <c r="Y10" i="4"/>
  <c r="W10" i="4"/>
  <c r="U10" i="4"/>
  <c r="S10" i="4"/>
  <c r="Q10" i="4"/>
  <c r="O10" i="4"/>
  <c r="M10" i="4"/>
  <c r="K10" i="4"/>
  <c r="I10" i="4"/>
  <c r="AF9" i="4"/>
  <c r="I9" i="4"/>
  <c r="AG9" i="4" s="1"/>
  <c r="AF8" i="4"/>
  <c r="AE8" i="4"/>
  <c r="AC8" i="4"/>
  <c r="AA8" i="4"/>
  <c r="Y8" i="4"/>
  <c r="W8" i="4"/>
  <c r="U8" i="4"/>
  <c r="S8" i="4"/>
  <c r="Q8" i="4"/>
  <c r="O8" i="4"/>
  <c r="M8" i="4"/>
  <c r="K8" i="4"/>
  <c r="I8" i="4"/>
  <c r="AF7" i="4"/>
  <c r="AE7" i="4"/>
  <c r="AC7" i="4"/>
  <c r="AA7" i="4"/>
  <c r="Y7" i="4"/>
  <c r="W7" i="4"/>
  <c r="U7" i="4"/>
  <c r="S7" i="4"/>
  <c r="Q7" i="4"/>
  <c r="O7" i="4"/>
  <c r="M7" i="4"/>
  <c r="K7" i="4"/>
  <c r="I7" i="4"/>
  <c r="AW107" i="3"/>
  <c r="AW106" i="3"/>
  <c r="AW103" i="3"/>
  <c r="AW102" i="3"/>
  <c r="AW99" i="3"/>
  <c r="AW98" i="3"/>
  <c r="AW95" i="3"/>
  <c r="AW94" i="3"/>
  <c r="AW91" i="3"/>
  <c r="AW90" i="3"/>
  <c r="AW87" i="3"/>
  <c r="AW86" i="3"/>
  <c r="AW83" i="3"/>
  <c r="AW82" i="3"/>
  <c r="AW79" i="3"/>
  <c r="AW78" i="3"/>
  <c r="AW75" i="3"/>
  <c r="AW74" i="3"/>
  <c r="AW71" i="3"/>
  <c r="AW70" i="3"/>
  <c r="AW67" i="3"/>
  <c r="AW66" i="3"/>
  <c r="AW63" i="3"/>
  <c r="AW62" i="3"/>
  <c r="AW59" i="3"/>
  <c r="AW58" i="3"/>
  <c r="AW55" i="3"/>
  <c r="AW54" i="3"/>
  <c r="AW51" i="3"/>
  <c r="AW50" i="3"/>
  <c r="AW47" i="3"/>
  <c r="AW46" i="3"/>
  <c r="AW43" i="3"/>
  <c r="AW42" i="3"/>
  <c r="AW39" i="3"/>
  <c r="AW38" i="3"/>
  <c r="AW35" i="3"/>
  <c r="AW34" i="3"/>
  <c r="AW31" i="3"/>
  <c r="AW30" i="3"/>
  <c r="AW27" i="3"/>
  <c r="AW26" i="3"/>
  <c r="AW23" i="3"/>
  <c r="AW22" i="3"/>
  <c r="AW19" i="3"/>
  <c r="AW18" i="3"/>
  <c r="AW15" i="3"/>
  <c r="AW14" i="3"/>
  <c r="AW11" i="3"/>
  <c r="AW10" i="3"/>
  <c r="AW8" i="3"/>
  <c r="AT8" i="3"/>
  <c r="AR11" i="3" s="1"/>
  <c r="AT11" i="3" s="1"/>
  <c r="AR15" i="3" s="1"/>
  <c r="AT15" i="3" s="1"/>
  <c r="AR19" i="3" s="1"/>
  <c r="AT19" i="3" s="1"/>
  <c r="AR23" i="3" s="1"/>
  <c r="AT23" i="3" s="1"/>
  <c r="AR27" i="3" s="1"/>
  <c r="AT27" i="3" s="1"/>
  <c r="AR31" i="3" s="1"/>
  <c r="AT31" i="3" s="1"/>
  <c r="AR35" i="3" s="1"/>
  <c r="AT35" i="3" s="1"/>
  <c r="AR39" i="3" s="1"/>
  <c r="AT39" i="3" s="1"/>
  <c r="AR43" i="3" s="1"/>
  <c r="AT43" i="3" s="1"/>
  <c r="AR47" i="3" s="1"/>
  <c r="AT47" i="3" s="1"/>
  <c r="AR51" i="3" s="1"/>
  <c r="AT51" i="3" s="1"/>
  <c r="AR55" i="3" s="1"/>
  <c r="AT55" i="3" s="1"/>
  <c r="AR59" i="3" s="1"/>
  <c r="AT59" i="3" s="1"/>
  <c r="AR63" i="3" s="1"/>
  <c r="AT63" i="3" s="1"/>
  <c r="AR67" i="3" s="1"/>
  <c r="AT67" i="3" s="1"/>
  <c r="AR71" i="3" s="1"/>
  <c r="AT71" i="3" s="1"/>
  <c r="AR75" i="3" s="1"/>
  <c r="AT75" i="3" s="1"/>
  <c r="AR79" i="3" s="1"/>
  <c r="AT79" i="3" s="1"/>
  <c r="AR83" i="3" s="1"/>
  <c r="AT83" i="3" s="1"/>
  <c r="AR87" i="3" s="1"/>
  <c r="AT87" i="3" s="1"/>
  <c r="AR91" i="3" s="1"/>
  <c r="AT91" i="3" s="1"/>
  <c r="AR95" i="3" s="1"/>
  <c r="AT95" i="3" s="1"/>
  <c r="AR99" i="3" s="1"/>
  <c r="AT99" i="3" s="1"/>
  <c r="AR103" i="3" s="1"/>
  <c r="AT103" i="3" s="1"/>
  <c r="AR107" i="3" s="1"/>
  <c r="AT107" i="3" s="1"/>
  <c r="AL8" i="3"/>
  <c r="AJ11" i="3" s="1"/>
  <c r="AL11" i="3" s="1"/>
  <c r="AJ15" i="3" s="1"/>
  <c r="AL15" i="3" s="1"/>
  <c r="AJ19" i="3" s="1"/>
  <c r="AL19" i="3" s="1"/>
  <c r="AJ23" i="3" s="1"/>
  <c r="AL23" i="3" s="1"/>
  <c r="AJ27" i="3" s="1"/>
  <c r="AL27" i="3" s="1"/>
  <c r="AJ31" i="3" s="1"/>
  <c r="AL31" i="3" s="1"/>
  <c r="AJ35" i="3" s="1"/>
  <c r="AL35" i="3" s="1"/>
  <c r="AJ39" i="3" s="1"/>
  <c r="AL39" i="3" s="1"/>
  <c r="AJ43" i="3" s="1"/>
  <c r="AL43" i="3" s="1"/>
  <c r="AJ47" i="3" s="1"/>
  <c r="AL47" i="3" s="1"/>
  <c r="AJ51" i="3" s="1"/>
  <c r="AL51" i="3" s="1"/>
  <c r="AJ55" i="3" s="1"/>
  <c r="AL55" i="3" s="1"/>
  <c r="AJ59" i="3" s="1"/>
  <c r="AL59" i="3" s="1"/>
  <c r="AJ63" i="3" s="1"/>
  <c r="AL63" i="3" s="1"/>
  <c r="AJ67" i="3" s="1"/>
  <c r="AL67" i="3" s="1"/>
  <c r="AJ71" i="3" s="1"/>
  <c r="AL71" i="3" s="1"/>
  <c r="AJ75" i="3" s="1"/>
  <c r="AL75" i="3" s="1"/>
  <c r="AJ79" i="3" s="1"/>
  <c r="AL79" i="3" s="1"/>
  <c r="AJ83" i="3" s="1"/>
  <c r="AL83" i="3" s="1"/>
  <c r="AJ87" i="3" s="1"/>
  <c r="AL87" i="3" s="1"/>
  <c r="AJ91" i="3" s="1"/>
  <c r="AL91" i="3" s="1"/>
  <c r="AJ95" i="3" s="1"/>
  <c r="AL95" i="3" s="1"/>
  <c r="AJ99" i="3" s="1"/>
  <c r="AL99" i="3" s="1"/>
  <c r="AJ103" i="3" s="1"/>
  <c r="AL103" i="3" s="1"/>
  <c r="AJ107" i="3" s="1"/>
  <c r="AL107" i="3" s="1"/>
  <c r="AH8" i="3"/>
  <c r="AF11" i="3" s="1"/>
  <c r="AH11" i="3" s="1"/>
  <c r="AF15" i="3" s="1"/>
  <c r="AH15" i="3" s="1"/>
  <c r="AF19" i="3" s="1"/>
  <c r="AH19" i="3" s="1"/>
  <c r="AF23" i="3" s="1"/>
  <c r="AH23" i="3" s="1"/>
  <c r="AF27" i="3" s="1"/>
  <c r="AH27" i="3" s="1"/>
  <c r="AF31" i="3" s="1"/>
  <c r="AH31" i="3" s="1"/>
  <c r="AF35" i="3" s="1"/>
  <c r="AH35" i="3" s="1"/>
  <c r="AF39" i="3" s="1"/>
  <c r="AH39" i="3" s="1"/>
  <c r="AF43" i="3" s="1"/>
  <c r="AH43" i="3" s="1"/>
  <c r="AF47" i="3" s="1"/>
  <c r="AH47" i="3" s="1"/>
  <c r="AF51" i="3" s="1"/>
  <c r="AH51" i="3" s="1"/>
  <c r="AF55" i="3" s="1"/>
  <c r="AH55" i="3" s="1"/>
  <c r="AF59" i="3" s="1"/>
  <c r="AH59" i="3" s="1"/>
  <c r="AF63" i="3" s="1"/>
  <c r="AH63" i="3" s="1"/>
  <c r="AF67" i="3" s="1"/>
  <c r="AH67" i="3" s="1"/>
  <c r="AF71" i="3" s="1"/>
  <c r="AH71" i="3" s="1"/>
  <c r="AF75" i="3" s="1"/>
  <c r="AH75" i="3" s="1"/>
  <c r="AF79" i="3" s="1"/>
  <c r="AH79" i="3" s="1"/>
  <c r="AF83" i="3" s="1"/>
  <c r="AH83" i="3" s="1"/>
  <c r="AF87" i="3" s="1"/>
  <c r="AH87" i="3" s="1"/>
  <c r="AF91" i="3" s="1"/>
  <c r="AH91" i="3" s="1"/>
  <c r="AF95" i="3" s="1"/>
  <c r="AH95" i="3" s="1"/>
  <c r="AF99" i="3" s="1"/>
  <c r="AH99" i="3" s="1"/>
  <c r="AF103" i="3" s="1"/>
  <c r="AH103" i="3" s="1"/>
  <c r="AF107" i="3" s="1"/>
  <c r="AH107" i="3" s="1"/>
  <c r="AD8" i="3"/>
  <c r="AB11" i="3" s="1"/>
  <c r="AD11" i="3" s="1"/>
  <c r="AB15" i="3" s="1"/>
  <c r="AD15" i="3" s="1"/>
  <c r="AB19" i="3" s="1"/>
  <c r="AD19" i="3" s="1"/>
  <c r="AB23" i="3" s="1"/>
  <c r="AD23" i="3" s="1"/>
  <c r="AB27" i="3" s="1"/>
  <c r="AD27" i="3" s="1"/>
  <c r="AB31" i="3" s="1"/>
  <c r="AD31" i="3" s="1"/>
  <c r="AB35" i="3" s="1"/>
  <c r="AD35" i="3" s="1"/>
  <c r="AB39" i="3" s="1"/>
  <c r="AD39" i="3" s="1"/>
  <c r="AB43" i="3" s="1"/>
  <c r="AD43" i="3" s="1"/>
  <c r="AB47" i="3" s="1"/>
  <c r="AD47" i="3" s="1"/>
  <c r="AB51" i="3" s="1"/>
  <c r="AD51" i="3" s="1"/>
  <c r="AB55" i="3" s="1"/>
  <c r="AD55" i="3" s="1"/>
  <c r="AB59" i="3" s="1"/>
  <c r="AD59" i="3" s="1"/>
  <c r="AB63" i="3" s="1"/>
  <c r="AD63" i="3" s="1"/>
  <c r="AB67" i="3" s="1"/>
  <c r="AD67" i="3" s="1"/>
  <c r="AB71" i="3" s="1"/>
  <c r="AD71" i="3" s="1"/>
  <c r="AB75" i="3" s="1"/>
  <c r="AD75" i="3" s="1"/>
  <c r="AB79" i="3" s="1"/>
  <c r="AD79" i="3" s="1"/>
  <c r="AB83" i="3" s="1"/>
  <c r="AD83" i="3" s="1"/>
  <c r="AB87" i="3" s="1"/>
  <c r="AD87" i="3" s="1"/>
  <c r="AB91" i="3" s="1"/>
  <c r="AD91" i="3" s="1"/>
  <c r="AB95" i="3" s="1"/>
  <c r="AD95" i="3" s="1"/>
  <c r="AB99" i="3" s="1"/>
  <c r="AD99" i="3" s="1"/>
  <c r="AB103" i="3" s="1"/>
  <c r="AD103" i="3" s="1"/>
  <c r="AB107" i="3" s="1"/>
  <c r="AD107" i="3" s="1"/>
  <c r="Z8" i="3"/>
  <c r="X11" i="3" s="1"/>
  <c r="Z11" i="3" s="1"/>
  <c r="X15" i="3" s="1"/>
  <c r="Z15" i="3" s="1"/>
  <c r="X19" i="3" s="1"/>
  <c r="Z19" i="3" s="1"/>
  <c r="X23" i="3" s="1"/>
  <c r="Z23" i="3" s="1"/>
  <c r="X27" i="3" s="1"/>
  <c r="Z27" i="3" s="1"/>
  <c r="X31" i="3" s="1"/>
  <c r="Z31" i="3" s="1"/>
  <c r="X35" i="3" s="1"/>
  <c r="Z35" i="3" s="1"/>
  <c r="X39" i="3" s="1"/>
  <c r="Z39" i="3" s="1"/>
  <c r="X43" i="3" s="1"/>
  <c r="Z43" i="3" s="1"/>
  <c r="X47" i="3" s="1"/>
  <c r="Z47" i="3" s="1"/>
  <c r="X51" i="3" s="1"/>
  <c r="Z51" i="3" s="1"/>
  <c r="X55" i="3" s="1"/>
  <c r="Z55" i="3" s="1"/>
  <c r="X59" i="3" s="1"/>
  <c r="Z59" i="3" s="1"/>
  <c r="X63" i="3" s="1"/>
  <c r="Z63" i="3" s="1"/>
  <c r="X67" i="3" s="1"/>
  <c r="Z67" i="3" s="1"/>
  <c r="X71" i="3" s="1"/>
  <c r="Z71" i="3" s="1"/>
  <c r="X75" i="3" s="1"/>
  <c r="Z75" i="3" s="1"/>
  <c r="X79" i="3" s="1"/>
  <c r="Z79" i="3" s="1"/>
  <c r="X83" i="3" s="1"/>
  <c r="Z83" i="3" s="1"/>
  <c r="X87" i="3" s="1"/>
  <c r="Z87" i="3" s="1"/>
  <c r="X91" i="3" s="1"/>
  <c r="Z91" i="3" s="1"/>
  <c r="X95" i="3" s="1"/>
  <c r="Z95" i="3" s="1"/>
  <c r="X99" i="3" s="1"/>
  <c r="Z99" i="3" s="1"/>
  <c r="X103" i="3" s="1"/>
  <c r="Z103" i="3" s="1"/>
  <c r="X107" i="3" s="1"/>
  <c r="Z107" i="3" s="1"/>
  <c r="V8" i="3"/>
  <c r="T11" i="3" s="1"/>
  <c r="V11" i="3" s="1"/>
  <c r="T15" i="3" s="1"/>
  <c r="V15" i="3" s="1"/>
  <c r="T19" i="3" s="1"/>
  <c r="V19" i="3" s="1"/>
  <c r="T23" i="3" s="1"/>
  <c r="V23" i="3" s="1"/>
  <c r="T27" i="3" s="1"/>
  <c r="V27" i="3" s="1"/>
  <c r="T31" i="3" s="1"/>
  <c r="V31" i="3" s="1"/>
  <c r="T35" i="3" s="1"/>
  <c r="V35" i="3" s="1"/>
  <c r="T39" i="3" s="1"/>
  <c r="V39" i="3" s="1"/>
  <c r="T43" i="3" s="1"/>
  <c r="V43" i="3" s="1"/>
  <c r="T47" i="3" s="1"/>
  <c r="V47" i="3" s="1"/>
  <c r="T51" i="3" s="1"/>
  <c r="V51" i="3" s="1"/>
  <c r="T55" i="3" s="1"/>
  <c r="V55" i="3" s="1"/>
  <c r="T59" i="3" s="1"/>
  <c r="V59" i="3" s="1"/>
  <c r="T63" i="3" s="1"/>
  <c r="V63" i="3" s="1"/>
  <c r="T67" i="3" s="1"/>
  <c r="V67" i="3" s="1"/>
  <c r="T71" i="3" s="1"/>
  <c r="V71" i="3" s="1"/>
  <c r="T75" i="3" s="1"/>
  <c r="V75" i="3" s="1"/>
  <c r="T79" i="3" s="1"/>
  <c r="V79" i="3" s="1"/>
  <c r="T83" i="3" s="1"/>
  <c r="V83" i="3" s="1"/>
  <c r="T87" i="3" s="1"/>
  <c r="V87" i="3" s="1"/>
  <c r="T91" i="3" s="1"/>
  <c r="V91" i="3" s="1"/>
  <c r="T95" i="3" s="1"/>
  <c r="V95" i="3" s="1"/>
  <c r="T99" i="3" s="1"/>
  <c r="V99" i="3" s="1"/>
  <c r="T103" i="3" s="1"/>
  <c r="V103" i="3" s="1"/>
  <c r="T107" i="3" s="1"/>
  <c r="V107" i="3" s="1"/>
  <c r="R8" i="3"/>
  <c r="P11" i="3" s="1"/>
  <c r="R11" i="3" s="1"/>
  <c r="P15" i="3" s="1"/>
  <c r="R15" i="3" s="1"/>
  <c r="P19" i="3" s="1"/>
  <c r="R19" i="3" s="1"/>
  <c r="P23" i="3" s="1"/>
  <c r="R23" i="3" s="1"/>
  <c r="P27" i="3" s="1"/>
  <c r="R27" i="3" s="1"/>
  <c r="P31" i="3" s="1"/>
  <c r="R31" i="3" s="1"/>
  <c r="P35" i="3" s="1"/>
  <c r="R35" i="3" s="1"/>
  <c r="P39" i="3" s="1"/>
  <c r="R39" i="3" s="1"/>
  <c r="P43" i="3" s="1"/>
  <c r="R43" i="3" s="1"/>
  <c r="P47" i="3" s="1"/>
  <c r="R47" i="3" s="1"/>
  <c r="P51" i="3" s="1"/>
  <c r="R51" i="3" s="1"/>
  <c r="P55" i="3" s="1"/>
  <c r="R55" i="3" s="1"/>
  <c r="P59" i="3" s="1"/>
  <c r="R59" i="3" s="1"/>
  <c r="P63" i="3" s="1"/>
  <c r="R63" i="3" s="1"/>
  <c r="P67" i="3" s="1"/>
  <c r="R67" i="3" s="1"/>
  <c r="P71" i="3" s="1"/>
  <c r="R71" i="3" s="1"/>
  <c r="P75" i="3" s="1"/>
  <c r="R75" i="3" s="1"/>
  <c r="P79" i="3" s="1"/>
  <c r="R79" i="3" s="1"/>
  <c r="P83" i="3" s="1"/>
  <c r="R83" i="3" s="1"/>
  <c r="P87" i="3" s="1"/>
  <c r="R87" i="3" s="1"/>
  <c r="P91" i="3" s="1"/>
  <c r="R91" i="3" s="1"/>
  <c r="P95" i="3" s="1"/>
  <c r="R95" i="3" s="1"/>
  <c r="P99" i="3" s="1"/>
  <c r="R99" i="3" s="1"/>
  <c r="P103" i="3" s="1"/>
  <c r="R103" i="3" s="1"/>
  <c r="P107" i="3" s="1"/>
  <c r="R107" i="3" s="1"/>
  <c r="N8" i="3"/>
  <c r="L11" i="3" s="1"/>
  <c r="N11" i="3" s="1"/>
  <c r="L15" i="3" s="1"/>
  <c r="N15" i="3" s="1"/>
  <c r="L19" i="3" s="1"/>
  <c r="N19" i="3" s="1"/>
  <c r="L23" i="3" s="1"/>
  <c r="N23" i="3" s="1"/>
  <c r="L27" i="3" s="1"/>
  <c r="N27" i="3" s="1"/>
  <c r="L31" i="3" s="1"/>
  <c r="N31" i="3" s="1"/>
  <c r="L35" i="3" s="1"/>
  <c r="N35" i="3" s="1"/>
  <c r="L39" i="3" s="1"/>
  <c r="N39" i="3" s="1"/>
  <c r="L43" i="3" s="1"/>
  <c r="N43" i="3" s="1"/>
  <c r="L47" i="3" s="1"/>
  <c r="N47" i="3" s="1"/>
  <c r="L51" i="3" s="1"/>
  <c r="N51" i="3" s="1"/>
  <c r="L55" i="3" s="1"/>
  <c r="N55" i="3" s="1"/>
  <c r="L59" i="3" s="1"/>
  <c r="N59" i="3" s="1"/>
  <c r="L63" i="3" s="1"/>
  <c r="N63" i="3" s="1"/>
  <c r="L67" i="3" s="1"/>
  <c r="N67" i="3" s="1"/>
  <c r="L71" i="3" s="1"/>
  <c r="N71" i="3" s="1"/>
  <c r="L75" i="3" s="1"/>
  <c r="N75" i="3" s="1"/>
  <c r="L79" i="3" s="1"/>
  <c r="N79" i="3" s="1"/>
  <c r="L83" i="3" s="1"/>
  <c r="N83" i="3" s="1"/>
  <c r="L87" i="3" s="1"/>
  <c r="N87" i="3" s="1"/>
  <c r="L91" i="3" s="1"/>
  <c r="N91" i="3" s="1"/>
  <c r="L95" i="3" s="1"/>
  <c r="N95" i="3" s="1"/>
  <c r="L99" i="3" s="1"/>
  <c r="N99" i="3" s="1"/>
  <c r="L103" i="3" s="1"/>
  <c r="N103" i="3" s="1"/>
  <c r="L107" i="3" s="1"/>
  <c r="N107" i="3" s="1"/>
  <c r="J8" i="3"/>
  <c r="AT7" i="3"/>
  <c r="AR10" i="3" s="1"/>
  <c r="AT10" i="3" s="1"/>
  <c r="AR14" i="3" s="1"/>
  <c r="AT14" i="3" s="1"/>
  <c r="AR18" i="3" s="1"/>
  <c r="AT18" i="3" s="1"/>
  <c r="AR22" i="3" s="1"/>
  <c r="AT22" i="3" s="1"/>
  <c r="AR26" i="3" s="1"/>
  <c r="AT26" i="3" s="1"/>
  <c r="AR30" i="3" s="1"/>
  <c r="AT30" i="3" s="1"/>
  <c r="AR34" i="3" s="1"/>
  <c r="AT34" i="3" s="1"/>
  <c r="AR38" i="3" s="1"/>
  <c r="AT38" i="3" s="1"/>
  <c r="AR42" i="3" s="1"/>
  <c r="AT42" i="3" s="1"/>
  <c r="AR46" i="3" s="1"/>
  <c r="AT46" i="3" s="1"/>
  <c r="AR50" i="3" s="1"/>
  <c r="AT50" i="3" s="1"/>
  <c r="AR54" i="3" s="1"/>
  <c r="AT54" i="3" s="1"/>
  <c r="AR58" i="3" s="1"/>
  <c r="AT58" i="3" s="1"/>
  <c r="AR62" i="3" s="1"/>
  <c r="AT62" i="3" s="1"/>
  <c r="AR66" i="3" s="1"/>
  <c r="AT66" i="3" s="1"/>
  <c r="AR70" i="3" s="1"/>
  <c r="AT70" i="3" s="1"/>
  <c r="AR74" i="3" s="1"/>
  <c r="AT74" i="3" s="1"/>
  <c r="AR78" i="3" s="1"/>
  <c r="AT78" i="3" s="1"/>
  <c r="AR82" i="3" s="1"/>
  <c r="AT82" i="3" s="1"/>
  <c r="AR86" i="3" s="1"/>
  <c r="AT86" i="3" s="1"/>
  <c r="AR90" i="3" s="1"/>
  <c r="AT90" i="3" s="1"/>
  <c r="AR94" i="3" s="1"/>
  <c r="AT94" i="3" s="1"/>
  <c r="AR98" i="3" s="1"/>
  <c r="AT98" i="3" s="1"/>
  <c r="AR102" i="3" s="1"/>
  <c r="AT102" i="3" s="1"/>
  <c r="AR106" i="3" s="1"/>
  <c r="AT106" i="3" s="1"/>
  <c r="AL7" i="3"/>
  <c r="AJ10" i="3" s="1"/>
  <c r="AL10" i="3" s="1"/>
  <c r="AJ14" i="3" s="1"/>
  <c r="AL14" i="3" s="1"/>
  <c r="AJ18" i="3" s="1"/>
  <c r="AL18" i="3" s="1"/>
  <c r="AJ22" i="3" s="1"/>
  <c r="AL22" i="3" s="1"/>
  <c r="AJ26" i="3" s="1"/>
  <c r="AL26" i="3" s="1"/>
  <c r="AJ30" i="3" s="1"/>
  <c r="AL30" i="3" s="1"/>
  <c r="AJ34" i="3" s="1"/>
  <c r="AL34" i="3" s="1"/>
  <c r="AJ38" i="3" s="1"/>
  <c r="AL38" i="3" s="1"/>
  <c r="AJ42" i="3" s="1"/>
  <c r="AL42" i="3" s="1"/>
  <c r="AJ46" i="3" s="1"/>
  <c r="AL46" i="3" s="1"/>
  <c r="AJ50" i="3" s="1"/>
  <c r="AL50" i="3" s="1"/>
  <c r="AJ54" i="3" s="1"/>
  <c r="AL54" i="3" s="1"/>
  <c r="AJ58" i="3" s="1"/>
  <c r="AL58" i="3" s="1"/>
  <c r="AJ62" i="3" s="1"/>
  <c r="AL62" i="3" s="1"/>
  <c r="AJ66" i="3" s="1"/>
  <c r="AL66" i="3" s="1"/>
  <c r="AJ70" i="3" s="1"/>
  <c r="AL70" i="3" s="1"/>
  <c r="AJ74" i="3" s="1"/>
  <c r="AL74" i="3" s="1"/>
  <c r="AJ78" i="3" s="1"/>
  <c r="AL78" i="3" s="1"/>
  <c r="AJ82" i="3" s="1"/>
  <c r="AL82" i="3" s="1"/>
  <c r="AJ86" i="3" s="1"/>
  <c r="AL86" i="3" s="1"/>
  <c r="AJ90" i="3" s="1"/>
  <c r="AL90" i="3" s="1"/>
  <c r="AJ94" i="3" s="1"/>
  <c r="AL94" i="3" s="1"/>
  <c r="AJ98" i="3" s="1"/>
  <c r="AL98" i="3" s="1"/>
  <c r="AJ102" i="3" s="1"/>
  <c r="AL102" i="3" s="1"/>
  <c r="AJ106" i="3" s="1"/>
  <c r="AL106" i="3" s="1"/>
  <c r="AH7" i="3"/>
  <c r="AF10" i="3" s="1"/>
  <c r="AH10" i="3" s="1"/>
  <c r="AF14" i="3" s="1"/>
  <c r="AH14" i="3" s="1"/>
  <c r="AF18" i="3" s="1"/>
  <c r="AH18" i="3" s="1"/>
  <c r="AF22" i="3" s="1"/>
  <c r="AH22" i="3" s="1"/>
  <c r="AF26" i="3" s="1"/>
  <c r="AH26" i="3" s="1"/>
  <c r="AF30" i="3" s="1"/>
  <c r="AH30" i="3" s="1"/>
  <c r="AF34" i="3" s="1"/>
  <c r="AH34" i="3" s="1"/>
  <c r="AF38" i="3" s="1"/>
  <c r="AH38" i="3" s="1"/>
  <c r="AF42" i="3" s="1"/>
  <c r="AH42" i="3" s="1"/>
  <c r="AF46" i="3" s="1"/>
  <c r="AH46" i="3" s="1"/>
  <c r="AF50" i="3" s="1"/>
  <c r="AH50" i="3" s="1"/>
  <c r="AF54" i="3" s="1"/>
  <c r="AH54" i="3" s="1"/>
  <c r="AF58" i="3" s="1"/>
  <c r="AH58" i="3" s="1"/>
  <c r="AF62" i="3" s="1"/>
  <c r="AH62" i="3" s="1"/>
  <c r="AF66" i="3" s="1"/>
  <c r="AH66" i="3" s="1"/>
  <c r="AF70" i="3" s="1"/>
  <c r="AH70" i="3" s="1"/>
  <c r="AF74" i="3" s="1"/>
  <c r="AH74" i="3" s="1"/>
  <c r="AF78" i="3" s="1"/>
  <c r="AH78" i="3" s="1"/>
  <c r="AF82" i="3" s="1"/>
  <c r="AH82" i="3" s="1"/>
  <c r="AF86" i="3" s="1"/>
  <c r="AH86" i="3" s="1"/>
  <c r="AF90" i="3" s="1"/>
  <c r="AH90" i="3" s="1"/>
  <c r="AF94" i="3" s="1"/>
  <c r="AH94" i="3" s="1"/>
  <c r="AF98" i="3" s="1"/>
  <c r="AH98" i="3" s="1"/>
  <c r="AF102" i="3" s="1"/>
  <c r="AH102" i="3" s="1"/>
  <c r="AF106" i="3" s="1"/>
  <c r="AH106" i="3" s="1"/>
  <c r="AD7" i="3"/>
  <c r="AB10" i="3" s="1"/>
  <c r="AD10" i="3" s="1"/>
  <c r="AB14" i="3" s="1"/>
  <c r="AD14" i="3" s="1"/>
  <c r="AB18" i="3" s="1"/>
  <c r="AD18" i="3" s="1"/>
  <c r="AB22" i="3" s="1"/>
  <c r="AD22" i="3" s="1"/>
  <c r="AB26" i="3" s="1"/>
  <c r="AD26" i="3" s="1"/>
  <c r="AB30" i="3" s="1"/>
  <c r="AD30" i="3" s="1"/>
  <c r="AB34" i="3" s="1"/>
  <c r="AD34" i="3" s="1"/>
  <c r="AB38" i="3" s="1"/>
  <c r="AD38" i="3" s="1"/>
  <c r="AB42" i="3" s="1"/>
  <c r="AD42" i="3" s="1"/>
  <c r="AB46" i="3" s="1"/>
  <c r="AD46" i="3" s="1"/>
  <c r="AB50" i="3" s="1"/>
  <c r="AD50" i="3" s="1"/>
  <c r="AB54" i="3" s="1"/>
  <c r="AD54" i="3" s="1"/>
  <c r="AB58" i="3" s="1"/>
  <c r="AD58" i="3" s="1"/>
  <c r="AB62" i="3" s="1"/>
  <c r="AD62" i="3" s="1"/>
  <c r="AB66" i="3" s="1"/>
  <c r="AD66" i="3" s="1"/>
  <c r="AB70" i="3" s="1"/>
  <c r="AD70" i="3" s="1"/>
  <c r="AB74" i="3" s="1"/>
  <c r="AD74" i="3" s="1"/>
  <c r="AB78" i="3" s="1"/>
  <c r="AD78" i="3" s="1"/>
  <c r="AB82" i="3" s="1"/>
  <c r="AD82" i="3" s="1"/>
  <c r="AB86" i="3" s="1"/>
  <c r="AD86" i="3" s="1"/>
  <c r="AB90" i="3" s="1"/>
  <c r="AD90" i="3" s="1"/>
  <c r="AB94" i="3" s="1"/>
  <c r="AD94" i="3" s="1"/>
  <c r="AB98" i="3" s="1"/>
  <c r="AD98" i="3" s="1"/>
  <c r="AB102" i="3" s="1"/>
  <c r="AD102" i="3" s="1"/>
  <c r="AB106" i="3" s="1"/>
  <c r="AD106" i="3" s="1"/>
  <c r="Z7" i="3"/>
  <c r="X10" i="3" s="1"/>
  <c r="Z10" i="3" s="1"/>
  <c r="X14" i="3" s="1"/>
  <c r="Z14" i="3" s="1"/>
  <c r="X18" i="3" s="1"/>
  <c r="Z18" i="3" s="1"/>
  <c r="X22" i="3" s="1"/>
  <c r="Z22" i="3" s="1"/>
  <c r="X26" i="3" s="1"/>
  <c r="Z26" i="3" s="1"/>
  <c r="X30" i="3" s="1"/>
  <c r="Z30" i="3" s="1"/>
  <c r="X34" i="3" s="1"/>
  <c r="Z34" i="3" s="1"/>
  <c r="X38" i="3" s="1"/>
  <c r="Z38" i="3" s="1"/>
  <c r="X42" i="3" s="1"/>
  <c r="Z42" i="3" s="1"/>
  <c r="X46" i="3" s="1"/>
  <c r="Z46" i="3" s="1"/>
  <c r="X50" i="3" s="1"/>
  <c r="Z50" i="3" s="1"/>
  <c r="X54" i="3" s="1"/>
  <c r="Z54" i="3" s="1"/>
  <c r="X58" i="3" s="1"/>
  <c r="Z58" i="3" s="1"/>
  <c r="X62" i="3" s="1"/>
  <c r="Z62" i="3" s="1"/>
  <c r="X66" i="3" s="1"/>
  <c r="Z66" i="3" s="1"/>
  <c r="X70" i="3" s="1"/>
  <c r="Z70" i="3" s="1"/>
  <c r="X74" i="3" s="1"/>
  <c r="Z74" i="3" s="1"/>
  <c r="X78" i="3" s="1"/>
  <c r="Z78" i="3" s="1"/>
  <c r="X82" i="3" s="1"/>
  <c r="Z82" i="3" s="1"/>
  <c r="X86" i="3" s="1"/>
  <c r="Z86" i="3" s="1"/>
  <c r="X90" i="3" s="1"/>
  <c r="Z90" i="3" s="1"/>
  <c r="X94" i="3" s="1"/>
  <c r="Z94" i="3" s="1"/>
  <c r="X98" i="3" s="1"/>
  <c r="Z98" i="3" s="1"/>
  <c r="X102" i="3" s="1"/>
  <c r="Z102" i="3" s="1"/>
  <c r="X106" i="3" s="1"/>
  <c r="Z106" i="3" s="1"/>
  <c r="V7" i="3"/>
  <c r="T10" i="3" s="1"/>
  <c r="V10" i="3" s="1"/>
  <c r="T14" i="3" s="1"/>
  <c r="V14" i="3" s="1"/>
  <c r="T18" i="3" s="1"/>
  <c r="V18" i="3" s="1"/>
  <c r="T22" i="3" s="1"/>
  <c r="V22" i="3" s="1"/>
  <c r="T26" i="3" s="1"/>
  <c r="V26" i="3" s="1"/>
  <c r="T30" i="3" s="1"/>
  <c r="V30" i="3" s="1"/>
  <c r="T34" i="3" s="1"/>
  <c r="V34" i="3" s="1"/>
  <c r="T38" i="3" s="1"/>
  <c r="V38" i="3" s="1"/>
  <c r="T42" i="3" s="1"/>
  <c r="V42" i="3" s="1"/>
  <c r="T46" i="3" s="1"/>
  <c r="V46" i="3" s="1"/>
  <c r="T50" i="3" s="1"/>
  <c r="V50" i="3" s="1"/>
  <c r="T54" i="3" s="1"/>
  <c r="V54" i="3" s="1"/>
  <c r="T58" i="3" s="1"/>
  <c r="V58" i="3" s="1"/>
  <c r="T62" i="3" s="1"/>
  <c r="V62" i="3" s="1"/>
  <c r="T66" i="3" s="1"/>
  <c r="V66" i="3" s="1"/>
  <c r="T70" i="3" s="1"/>
  <c r="V70" i="3" s="1"/>
  <c r="T74" i="3" s="1"/>
  <c r="V74" i="3" s="1"/>
  <c r="T78" i="3" s="1"/>
  <c r="V78" i="3" s="1"/>
  <c r="T82" i="3" s="1"/>
  <c r="V82" i="3" s="1"/>
  <c r="T86" i="3" s="1"/>
  <c r="V86" i="3" s="1"/>
  <c r="T90" i="3" s="1"/>
  <c r="V90" i="3" s="1"/>
  <c r="T94" i="3" s="1"/>
  <c r="V94" i="3" s="1"/>
  <c r="T98" i="3" s="1"/>
  <c r="V98" i="3" s="1"/>
  <c r="T102" i="3" s="1"/>
  <c r="V102" i="3" s="1"/>
  <c r="T106" i="3" s="1"/>
  <c r="V106" i="3" s="1"/>
  <c r="R7" i="3"/>
  <c r="P10" i="3" s="1"/>
  <c r="R10" i="3" s="1"/>
  <c r="P14" i="3" s="1"/>
  <c r="R14" i="3" s="1"/>
  <c r="P18" i="3" s="1"/>
  <c r="R18" i="3" s="1"/>
  <c r="P22" i="3" s="1"/>
  <c r="R22" i="3" s="1"/>
  <c r="P26" i="3" s="1"/>
  <c r="R26" i="3" s="1"/>
  <c r="P30" i="3" s="1"/>
  <c r="R30" i="3" s="1"/>
  <c r="P34" i="3" s="1"/>
  <c r="R34" i="3" s="1"/>
  <c r="P38" i="3" s="1"/>
  <c r="R38" i="3" s="1"/>
  <c r="P42" i="3" s="1"/>
  <c r="R42" i="3" s="1"/>
  <c r="P46" i="3" s="1"/>
  <c r="R46" i="3" s="1"/>
  <c r="P50" i="3" s="1"/>
  <c r="R50" i="3" s="1"/>
  <c r="P54" i="3" s="1"/>
  <c r="R54" i="3" s="1"/>
  <c r="P58" i="3" s="1"/>
  <c r="R58" i="3" s="1"/>
  <c r="P62" i="3" s="1"/>
  <c r="R62" i="3" s="1"/>
  <c r="P66" i="3" s="1"/>
  <c r="R66" i="3" s="1"/>
  <c r="P70" i="3" s="1"/>
  <c r="R70" i="3" s="1"/>
  <c r="P74" i="3" s="1"/>
  <c r="R74" i="3" s="1"/>
  <c r="P78" i="3" s="1"/>
  <c r="R78" i="3" s="1"/>
  <c r="P82" i="3" s="1"/>
  <c r="R82" i="3" s="1"/>
  <c r="P86" i="3" s="1"/>
  <c r="R86" i="3" s="1"/>
  <c r="P90" i="3" s="1"/>
  <c r="R90" i="3" s="1"/>
  <c r="P94" i="3" s="1"/>
  <c r="R94" i="3" s="1"/>
  <c r="P98" i="3" s="1"/>
  <c r="R98" i="3" s="1"/>
  <c r="P102" i="3" s="1"/>
  <c r="R102" i="3" s="1"/>
  <c r="P106" i="3" s="1"/>
  <c r="R106" i="3" s="1"/>
  <c r="N7" i="3"/>
  <c r="L10" i="3" s="1"/>
  <c r="N10" i="3" s="1"/>
  <c r="L14" i="3" s="1"/>
  <c r="N14" i="3" s="1"/>
  <c r="L18" i="3" s="1"/>
  <c r="N18" i="3" s="1"/>
  <c r="L22" i="3" s="1"/>
  <c r="N22" i="3" s="1"/>
  <c r="L26" i="3" s="1"/>
  <c r="N26" i="3" s="1"/>
  <c r="L30" i="3" s="1"/>
  <c r="N30" i="3" s="1"/>
  <c r="L34" i="3" s="1"/>
  <c r="N34" i="3" s="1"/>
  <c r="L38" i="3" s="1"/>
  <c r="N38" i="3" s="1"/>
  <c r="L42" i="3" s="1"/>
  <c r="N42" i="3" s="1"/>
  <c r="L46" i="3" s="1"/>
  <c r="N46" i="3" s="1"/>
  <c r="L50" i="3" s="1"/>
  <c r="N50" i="3" s="1"/>
  <c r="L54" i="3" s="1"/>
  <c r="N54" i="3" s="1"/>
  <c r="L58" i="3" s="1"/>
  <c r="N58" i="3" s="1"/>
  <c r="L62" i="3" s="1"/>
  <c r="N62" i="3" s="1"/>
  <c r="L66" i="3" s="1"/>
  <c r="N66" i="3" s="1"/>
  <c r="L70" i="3" s="1"/>
  <c r="N70" i="3" s="1"/>
  <c r="L74" i="3" s="1"/>
  <c r="N74" i="3" s="1"/>
  <c r="L78" i="3" s="1"/>
  <c r="N78" i="3" s="1"/>
  <c r="L82" i="3" s="1"/>
  <c r="N82" i="3" s="1"/>
  <c r="L86" i="3" s="1"/>
  <c r="N86" i="3" s="1"/>
  <c r="L90" i="3" s="1"/>
  <c r="N90" i="3" s="1"/>
  <c r="L94" i="3" s="1"/>
  <c r="N94" i="3" s="1"/>
  <c r="L98" i="3" s="1"/>
  <c r="N98" i="3" s="1"/>
  <c r="L102" i="3" s="1"/>
  <c r="N102" i="3" s="1"/>
  <c r="L106" i="3" s="1"/>
  <c r="N106" i="3" s="1"/>
  <c r="J7" i="3"/>
  <c r="H10" i="3" s="1"/>
  <c r="I38" i="4" l="1"/>
  <c r="H10" i="5" s="1"/>
  <c r="I10" i="5" s="1"/>
  <c r="Q38" i="4"/>
  <c r="H10" i="9" s="1"/>
  <c r="I10" i="9" s="1"/>
  <c r="M38" i="4"/>
  <c r="H10" i="7" s="1"/>
  <c r="K38" i="4"/>
  <c r="H10" i="6" s="1"/>
  <c r="C53" i="18" s="1"/>
  <c r="AE38" i="4"/>
  <c r="H10" i="16" s="1"/>
  <c r="S38" i="4"/>
  <c r="H10" i="10" s="1"/>
  <c r="I10" i="10" s="1"/>
  <c r="Q30" i="4"/>
  <c r="H9" i="9" s="1"/>
  <c r="I9" i="9" s="1"/>
  <c r="O30" i="4"/>
  <c r="H9" i="8" s="1"/>
  <c r="I9" i="8" s="1"/>
  <c r="AG27" i="4"/>
  <c r="AA17" i="4"/>
  <c r="H8" i="14" s="1"/>
  <c r="I8" i="14" s="1"/>
  <c r="AG12" i="4"/>
  <c r="AG35" i="4"/>
  <c r="AX8" i="3"/>
  <c r="AF17" i="4"/>
  <c r="O38" i="4"/>
  <c r="H10" i="8" s="1"/>
  <c r="G16" i="16"/>
  <c r="G16" i="7"/>
  <c r="AG8" i="4"/>
  <c r="Q17" i="4"/>
  <c r="H8" i="9" s="1"/>
  <c r="O17" i="4"/>
  <c r="H8" i="8" s="1"/>
  <c r="AG24" i="4"/>
  <c r="U38" i="4"/>
  <c r="H10" i="11" s="1"/>
  <c r="I10" i="11" s="1"/>
  <c r="AC17" i="4"/>
  <c r="H8" i="15" s="1"/>
  <c r="I8" i="15" s="1"/>
  <c r="AE17" i="4"/>
  <c r="H8" i="16" s="1"/>
  <c r="B4" i="18"/>
  <c r="G16" i="9"/>
  <c r="B8" i="19" s="1"/>
  <c r="AG10" i="4"/>
  <c r="AG14" i="4"/>
  <c r="S30" i="4"/>
  <c r="H9" i="10" s="1"/>
  <c r="W17" i="4"/>
  <c r="H8" i="12" s="1"/>
  <c r="U17" i="4"/>
  <c r="H8" i="11" s="1"/>
  <c r="I8" i="11" s="1"/>
  <c r="U30" i="4"/>
  <c r="H9" i="11" s="1"/>
  <c r="I9" i="11" s="1"/>
  <c r="AE30" i="4"/>
  <c r="H9" i="16" s="1"/>
  <c r="I9" i="16" s="1"/>
  <c r="AC38" i="4"/>
  <c r="H10" i="15" s="1"/>
  <c r="I10" i="15" s="1"/>
  <c r="AG16" i="4"/>
  <c r="AF38" i="4"/>
  <c r="F21" i="2"/>
  <c r="N32" i="17" s="1"/>
  <c r="AH112" i="3"/>
  <c r="AL112" i="3"/>
  <c r="F22" i="2"/>
  <c r="N33" i="17" s="1"/>
  <c r="N111" i="3"/>
  <c r="E16" i="2"/>
  <c r="E19" i="2"/>
  <c r="Z111" i="3"/>
  <c r="E21" i="2"/>
  <c r="AH111" i="3"/>
  <c r="E17" i="2"/>
  <c r="R111" i="3"/>
  <c r="F16" i="2"/>
  <c r="N27" i="17" s="1"/>
  <c r="N112" i="3"/>
  <c r="J10" i="3"/>
  <c r="AV10" i="3"/>
  <c r="E23" i="2"/>
  <c r="AT111" i="3"/>
  <c r="F18" i="2"/>
  <c r="N29" i="17" s="1"/>
  <c r="V112" i="3"/>
  <c r="V111" i="3"/>
  <c r="E18" i="2"/>
  <c r="AT112" i="3"/>
  <c r="F23" i="2"/>
  <c r="K34" i="17" s="1"/>
  <c r="F19" i="2"/>
  <c r="N30" i="17" s="1"/>
  <c r="Z112" i="3"/>
  <c r="F20" i="2"/>
  <c r="K31" i="17" s="1"/>
  <c r="AD112" i="3"/>
  <c r="AD111" i="3"/>
  <c r="E20" i="2"/>
  <c r="AL111" i="3"/>
  <c r="E22" i="2"/>
  <c r="J33" i="17" s="1"/>
  <c r="F17" i="2"/>
  <c r="L28" i="17" s="1"/>
  <c r="R112" i="3"/>
  <c r="AG7" i="4"/>
  <c r="I17" i="4"/>
  <c r="H8" i="5" s="1"/>
  <c r="B91" i="18"/>
  <c r="C84" i="18"/>
  <c r="C89" i="18"/>
  <c r="B84" i="18"/>
  <c r="B92" i="18"/>
  <c r="C85" i="18"/>
  <c r="B90" i="18"/>
  <c r="C83" i="18"/>
  <c r="C88" i="18"/>
  <c r="B83" i="18"/>
  <c r="C93" i="18"/>
  <c r="B88" i="18"/>
  <c r="B87" i="18"/>
  <c r="C90" i="18"/>
  <c r="G31" i="17"/>
  <c r="B93" i="18"/>
  <c r="C86" i="18"/>
  <c r="B86" i="18"/>
  <c r="I12" i="5"/>
  <c r="B89" i="18"/>
  <c r="C92" i="18"/>
  <c r="B85" i="18"/>
  <c r="C91" i="18"/>
  <c r="C94" i="18"/>
  <c r="B94" i="18"/>
  <c r="C87" i="18"/>
  <c r="AG33" i="4"/>
  <c r="I14" i="6"/>
  <c r="AG26" i="4"/>
  <c r="AG36" i="4"/>
  <c r="AC30" i="4"/>
  <c r="H9" i="15" s="1"/>
  <c r="I9" i="15" s="1"/>
  <c r="C110" i="18"/>
  <c r="B105" i="18"/>
  <c r="B110" i="18"/>
  <c r="C103" i="18"/>
  <c r="B106" i="18"/>
  <c r="C99" i="18"/>
  <c r="C109" i="18"/>
  <c r="B104" i="18"/>
  <c r="B109" i="18"/>
  <c r="C102" i="18"/>
  <c r="C107" i="18"/>
  <c r="B102" i="18"/>
  <c r="B107" i="18"/>
  <c r="C100" i="18"/>
  <c r="C105" i="18"/>
  <c r="C101" i="18"/>
  <c r="G32" i="17"/>
  <c r="B101" i="18"/>
  <c r="C108" i="18"/>
  <c r="B100" i="18"/>
  <c r="B108" i="18"/>
  <c r="C104" i="18"/>
  <c r="B103" i="18"/>
  <c r="B99" i="18"/>
  <c r="C106" i="18"/>
  <c r="J32" i="17"/>
  <c r="I13" i="5"/>
  <c r="G16" i="5"/>
  <c r="AA30" i="4"/>
  <c r="H9" i="14" s="1"/>
  <c r="I9" i="14" s="1"/>
  <c r="Y17" i="4"/>
  <c r="H8" i="13" s="1"/>
  <c r="I8" i="13" s="1"/>
  <c r="AG25" i="4"/>
  <c r="AG29" i="4"/>
  <c r="I10" i="6"/>
  <c r="K30" i="4"/>
  <c r="H9" i="6" s="1"/>
  <c r="I9" i="6" s="1"/>
  <c r="H11" i="3"/>
  <c r="AX7" i="3"/>
  <c r="G16" i="6"/>
  <c r="C119" i="18"/>
  <c r="G16" i="14"/>
  <c r="I8" i="12"/>
  <c r="AG20" i="4"/>
  <c r="AF30" i="4"/>
  <c r="B37" i="18"/>
  <c r="B42" i="18"/>
  <c r="C35" i="18"/>
  <c r="B38" i="18"/>
  <c r="B36" i="18"/>
  <c r="B41" i="18"/>
  <c r="B46" i="18"/>
  <c r="B45" i="18"/>
  <c r="B44" i="18"/>
  <c r="B40" i="18"/>
  <c r="B43" i="18"/>
  <c r="B39" i="18"/>
  <c r="B35" i="18"/>
  <c r="G28" i="17"/>
  <c r="C138" i="18"/>
  <c r="B133" i="18"/>
  <c r="J34" i="17"/>
  <c r="B138" i="18"/>
  <c r="C131" i="18"/>
  <c r="C139" i="18"/>
  <c r="B134" i="18"/>
  <c r="C137" i="18"/>
  <c r="B132" i="18"/>
  <c r="C142" i="18"/>
  <c r="B137" i="18"/>
  <c r="N34" i="17"/>
  <c r="B142" i="18"/>
  <c r="C135" i="18"/>
  <c r="C140" i="18"/>
  <c r="B135" i="18"/>
  <c r="C133" i="18"/>
  <c r="C141" i="18"/>
  <c r="B141" i="18"/>
  <c r="C136" i="18"/>
  <c r="B140" i="18"/>
  <c r="B136" i="18"/>
  <c r="C132" i="18"/>
  <c r="G34" i="17"/>
  <c r="N28" i="17"/>
  <c r="B131" i="18"/>
  <c r="B139" i="18"/>
  <c r="C134" i="18"/>
  <c r="I15" i="5"/>
  <c r="G16" i="8"/>
  <c r="I7" i="8"/>
  <c r="M30" i="4"/>
  <c r="H9" i="7" s="1"/>
  <c r="AG21" i="4"/>
  <c r="M17" i="4"/>
  <c r="H8" i="7" s="1"/>
  <c r="I8" i="7" s="1"/>
  <c r="C22" i="17"/>
  <c r="I10" i="8"/>
  <c r="I7" i="11"/>
  <c r="G16" i="11"/>
  <c r="I30" i="4"/>
  <c r="H9" i="5" s="1"/>
  <c r="I9" i="5" s="1"/>
  <c r="B61" i="18"/>
  <c r="S17" i="4"/>
  <c r="H8" i="10" s="1"/>
  <c r="Y38" i="4"/>
  <c r="H10" i="13" s="1"/>
  <c r="I10" i="13" s="1"/>
  <c r="B6" i="19"/>
  <c r="E12" i="17"/>
  <c r="I8" i="8"/>
  <c r="W30" i="4"/>
  <c r="H9" i="12" s="1"/>
  <c r="W38" i="4"/>
  <c r="H10" i="12" s="1"/>
  <c r="I10" i="12" s="1"/>
  <c r="D22" i="17"/>
  <c r="I9" i="10"/>
  <c r="I10" i="16"/>
  <c r="B77" i="18"/>
  <c r="C70" i="18"/>
  <c r="C75" i="18"/>
  <c r="B70" i="18"/>
  <c r="B78" i="18"/>
  <c r="C71" i="18"/>
  <c r="B76" i="18"/>
  <c r="C69" i="18"/>
  <c r="C74" i="18"/>
  <c r="B69" i="18"/>
  <c r="B74" i="18"/>
  <c r="C67" i="18"/>
  <c r="B73" i="18"/>
  <c r="C76" i="18"/>
  <c r="C72" i="18"/>
  <c r="G30" i="17"/>
  <c r="B72" i="18"/>
  <c r="B75" i="18"/>
  <c r="C68" i="18"/>
  <c r="B68" i="18"/>
  <c r="C78" i="18"/>
  <c r="B71" i="18"/>
  <c r="B67" i="18"/>
  <c r="I11" i="5"/>
  <c r="C77" i="18"/>
  <c r="L30" i="17"/>
  <c r="C73" i="18"/>
  <c r="J30" i="17"/>
  <c r="I7" i="10"/>
  <c r="G16" i="10"/>
  <c r="G16" i="12"/>
  <c r="I8" i="16"/>
  <c r="AG11" i="4"/>
  <c r="AA38" i="4"/>
  <c r="H10" i="14" s="1"/>
  <c r="I10" i="14" s="1"/>
  <c r="G16" i="15"/>
  <c r="K17" i="4"/>
  <c r="H8" i="6" s="1"/>
  <c r="Y30" i="4"/>
  <c r="H9" i="13" s="1"/>
  <c r="I9" i="13" s="1"/>
  <c r="AG34" i="4"/>
  <c r="B26" i="18"/>
  <c r="I10" i="7"/>
  <c r="G16" i="13"/>
  <c r="B15" i="19"/>
  <c r="E21" i="17"/>
  <c r="G26" i="17"/>
  <c r="G27" i="17"/>
  <c r="C118" i="18"/>
  <c r="B122" i="18"/>
  <c r="B126" i="18"/>
  <c r="B7" i="18"/>
  <c r="B21" i="18"/>
  <c r="C122" i="18"/>
  <c r="K29" i="17"/>
  <c r="C14" i="18"/>
  <c r="B9" i="18"/>
  <c r="B14" i="18"/>
  <c r="C7" i="18"/>
  <c r="B10" i="18"/>
  <c r="C3" i="18"/>
  <c r="C13" i="18"/>
  <c r="B8" i="18"/>
  <c r="B13" i="18"/>
  <c r="C6" i="18"/>
  <c r="C11" i="18"/>
  <c r="B6" i="18"/>
  <c r="J27" i="17"/>
  <c r="L29" i="17"/>
  <c r="C4" i="18"/>
  <c r="B11" i="18"/>
  <c r="B25" i="18"/>
  <c r="B53" i="18"/>
  <c r="B115" i="18"/>
  <c r="C8" i="18"/>
  <c r="B29" i="18"/>
  <c r="B57" i="18"/>
  <c r="C115" i="18"/>
  <c r="C124" i="18"/>
  <c r="B119" i="18"/>
  <c r="L33" i="17"/>
  <c r="B124" i="18"/>
  <c r="C117" i="18"/>
  <c r="C125" i="18"/>
  <c r="B120" i="18"/>
  <c r="G33" i="17"/>
  <c r="C123" i="18"/>
  <c r="B118" i="18"/>
  <c r="B123" i="18"/>
  <c r="C116" i="18"/>
  <c r="C121" i="18"/>
  <c r="B116" i="18"/>
  <c r="C126" i="18"/>
  <c r="B121" i="18"/>
  <c r="B5" i="18"/>
  <c r="B19" i="18"/>
  <c r="C5" i="18"/>
  <c r="B12" i="18"/>
  <c r="C19" i="18"/>
  <c r="B54" i="18"/>
  <c r="C120" i="18"/>
  <c r="C12" i="18"/>
  <c r="C54" i="18"/>
  <c r="B23" i="18"/>
  <c r="L27" i="17"/>
  <c r="B28" i="18"/>
  <c r="K27" i="17"/>
  <c r="B24" i="18"/>
  <c r="B22" i="18"/>
  <c r="B27" i="18"/>
  <c r="B20" i="18"/>
  <c r="C56" i="18"/>
  <c r="B51" i="18"/>
  <c r="B56" i="18"/>
  <c r="G29" i="17"/>
  <c r="B52" i="18"/>
  <c r="B62" i="18"/>
  <c r="C55" i="18"/>
  <c r="B55" i="18"/>
  <c r="B60" i="18"/>
  <c r="C9" i="18"/>
  <c r="B30" i="18"/>
  <c r="C51" i="18"/>
  <c r="B58" i="18"/>
  <c r="B125" i="18"/>
  <c r="B3" i="18"/>
  <c r="B117" i="18"/>
  <c r="C10" i="18"/>
  <c r="C52" i="18"/>
  <c r="B59" i="18"/>
  <c r="K30" i="17" l="1"/>
  <c r="K28" i="17"/>
  <c r="H16" i="15"/>
  <c r="C57" i="18"/>
  <c r="H16" i="9"/>
  <c r="C38" i="18"/>
  <c r="H16" i="11"/>
  <c r="C10" i="19" s="1"/>
  <c r="G14" i="17"/>
  <c r="H16" i="6"/>
  <c r="C5" i="19" s="1"/>
  <c r="I16" i="16"/>
  <c r="K33" i="17"/>
  <c r="E14" i="17"/>
  <c r="I16" i="8"/>
  <c r="K32" i="17"/>
  <c r="H16" i="16"/>
  <c r="G21" i="17" s="1"/>
  <c r="L32" i="17"/>
  <c r="H16" i="8"/>
  <c r="C7" i="19" s="1"/>
  <c r="C44" i="18"/>
  <c r="I16" i="13"/>
  <c r="C43" i="18"/>
  <c r="C36" i="18"/>
  <c r="I16" i="14"/>
  <c r="H16" i="7"/>
  <c r="G12" i="17" s="1"/>
  <c r="AG17" i="4"/>
  <c r="C61" i="18"/>
  <c r="C40" i="18"/>
  <c r="I8" i="9"/>
  <c r="I16" i="9" s="1"/>
  <c r="C37" i="18"/>
  <c r="H16" i="13"/>
  <c r="C12" i="19" s="1"/>
  <c r="C39" i="18"/>
  <c r="I16" i="11"/>
  <c r="B14" i="19"/>
  <c r="G20" i="17"/>
  <c r="E20" i="17"/>
  <c r="C6" i="19"/>
  <c r="H16" i="12"/>
  <c r="D61" i="18"/>
  <c r="H29" i="17"/>
  <c r="D54" i="18"/>
  <c r="D62" i="18"/>
  <c r="O29" i="17"/>
  <c r="D60" i="18"/>
  <c r="D53" i="18"/>
  <c r="D58" i="18"/>
  <c r="D55" i="18"/>
  <c r="E29" i="17"/>
  <c r="D51" i="18"/>
  <c r="D57" i="18"/>
  <c r="D56" i="18"/>
  <c r="D59" i="18"/>
  <c r="D52" i="18"/>
  <c r="C59" i="18"/>
  <c r="C58" i="18"/>
  <c r="AG38" i="4"/>
  <c r="D89" i="18"/>
  <c r="D94" i="18"/>
  <c r="O31" i="17"/>
  <c r="D90" i="18"/>
  <c r="D88" i="18"/>
  <c r="D93" i="18"/>
  <c r="D86" i="18"/>
  <c r="H31" i="17"/>
  <c r="D83" i="18"/>
  <c r="E31" i="17"/>
  <c r="D92" i="18"/>
  <c r="D85" i="18"/>
  <c r="D91" i="18"/>
  <c r="D84" i="18"/>
  <c r="D87" i="18"/>
  <c r="D35" i="18"/>
  <c r="D40" i="18"/>
  <c r="D36" i="18"/>
  <c r="D46" i="18"/>
  <c r="D39" i="18"/>
  <c r="D44" i="18"/>
  <c r="D41" i="18"/>
  <c r="E28" i="17"/>
  <c r="D37" i="18"/>
  <c r="O28" i="17"/>
  <c r="D43" i="18"/>
  <c r="D42" i="18"/>
  <c r="D45" i="18"/>
  <c r="H28" i="17"/>
  <c r="D38" i="18"/>
  <c r="C60" i="18"/>
  <c r="C20" i="18"/>
  <c r="C42" i="18"/>
  <c r="H16" i="14"/>
  <c r="G19" i="17" s="1"/>
  <c r="C30" i="18"/>
  <c r="E17" i="17"/>
  <c r="B11" i="19"/>
  <c r="J29" i="17"/>
  <c r="I16" i="15"/>
  <c r="C23" i="18"/>
  <c r="C27" i="18"/>
  <c r="E15" i="17"/>
  <c r="B9" i="19"/>
  <c r="H16" i="10"/>
  <c r="I8" i="10"/>
  <c r="I16" i="10" s="1"/>
  <c r="AG30" i="4"/>
  <c r="C15" i="19"/>
  <c r="C14" i="19"/>
  <c r="F20" i="17"/>
  <c r="D103" i="18"/>
  <c r="D108" i="18"/>
  <c r="D104" i="18"/>
  <c r="D102" i="18"/>
  <c r="D107" i="18"/>
  <c r="D100" i="18"/>
  <c r="D105" i="18"/>
  <c r="D101" i="18"/>
  <c r="H32" i="17"/>
  <c r="D109" i="18"/>
  <c r="E32" i="17"/>
  <c r="D99" i="18"/>
  <c r="O32" i="17"/>
  <c r="D110" i="18"/>
  <c r="D106" i="18"/>
  <c r="B7" i="19"/>
  <c r="G13" i="17"/>
  <c r="E13" i="17"/>
  <c r="C46" i="18"/>
  <c r="J31" i="17"/>
  <c r="E94" i="18"/>
  <c r="G92" i="18"/>
  <c r="F87" i="18"/>
  <c r="H85" i="18"/>
  <c r="F92" i="18"/>
  <c r="H90" i="18"/>
  <c r="E87" i="18"/>
  <c r="G85" i="18"/>
  <c r="G93" i="18"/>
  <c r="F88" i="18"/>
  <c r="H86" i="18"/>
  <c r="E83" i="18"/>
  <c r="E93" i="18"/>
  <c r="G91" i="18"/>
  <c r="F86" i="18"/>
  <c r="H84" i="18"/>
  <c r="F91" i="18"/>
  <c r="H89" i="18"/>
  <c r="E86" i="18"/>
  <c r="G84" i="18"/>
  <c r="H94" i="18"/>
  <c r="E91" i="18"/>
  <c r="G89" i="18"/>
  <c r="F84" i="18"/>
  <c r="G94" i="18"/>
  <c r="H93" i="18"/>
  <c r="E90" i="18"/>
  <c r="F83" i="18"/>
  <c r="F93" i="18"/>
  <c r="G86" i="18"/>
  <c r="F89" i="18"/>
  <c r="F31" i="17"/>
  <c r="H92" i="18"/>
  <c r="E89" i="18"/>
  <c r="E92" i="18"/>
  <c r="F85" i="18"/>
  <c r="H88" i="18"/>
  <c r="E85" i="18"/>
  <c r="G88" i="18"/>
  <c r="H91" i="18"/>
  <c r="E88" i="18"/>
  <c r="H87" i="18"/>
  <c r="E84" i="18"/>
  <c r="M31" i="17"/>
  <c r="F94" i="18"/>
  <c r="G87" i="18"/>
  <c r="G90" i="18"/>
  <c r="H83" i="18"/>
  <c r="F90" i="18"/>
  <c r="G83" i="18"/>
  <c r="I31" i="17"/>
  <c r="F59" i="18"/>
  <c r="H57" i="18"/>
  <c r="E54" i="18"/>
  <c r="G52" i="18"/>
  <c r="H62" i="18"/>
  <c r="E59" i="18"/>
  <c r="G57" i="18"/>
  <c r="F52" i="18"/>
  <c r="F60" i="18"/>
  <c r="H58" i="18"/>
  <c r="E55" i="18"/>
  <c r="G53" i="18"/>
  <c r="F58" i="18"/>
  <c r="H56" i="18"/>
  <c r="E53" i="18"/>
  <c r="G51" i="18"/>
  <c r="H61" i="18"/>
  <c r="E58" i="18"/>
  <c r="G56" i="18"/>
  <c r="F51" i="18"/>
  <c r="G61" i="18"/>
  <c r="F56" i="18"/>
  <c r="H54" i="18"/>
  <c r="E51" i="18"/>
  <c r="E62" i="18"/>
  <c r="F55" i="18"/>
  <c r="F29" i="17"/>
  <c r="G58" i="18"/>
  <c r="H51" i="18"/>
  <c r="F61" i="18"/>
  <c r="G54" i="18"/>
  <c r="E61" i="18"/>
  <c r="F54" i="18"/>
  <c r="F57" i="18"/>
  <c r="H60" i="18"/>
  <c r="E57" i="18"/>
  <c r="G60" i="18"/>
  <c r="H53" i="18"/>
  <c r="E60" i="18"/>
  <c r="F53" i="18"/>
  <c r="M29" i="17"/>
  <c r="H59" i="18"/>
  <c r="E56" i="18"/>
  <c r="G59" i="18"/>
  <c r="H52" i="18"/>
  <c r="G62" i="18"/>
  <c r="H55" i="18"/>
  <c r="E52" i="18"/>
  <c r="F62" i="18"/>
  <c r="G55" i="18"/>
  <c r="I29" i="17"/>
  <c r="D75" i="18"/>
  <c r="D68" i="18"/>
  <c r="E30" i="17"/>
  <c r="D76" i="18"/>
  <c r="D74" i="18"/>
  <c r="D67" i="18"/>
  <c r="D72" i="18"/>
  <c r="D69" i="18"/>
  <c r="H30" i="17"/>
  <c r="D78" i="18"/>
  <c r="D71" i="18"/>
  <c r="O30" i="17"/>
  <c r="D77" i="18"/>
  <c r="D70" i="18"/>
  <c r="D73" i="18"/>
  <c r="C22" i="18"/>
  <c r="I8" i="6"/>
  <c r="I16" i="6" s="1"/>
  <c r="I9" i="12"/>
  <c r="I16" i="12" s="1"/>
  <c r="C41" i="18"/>
  <c r="B13" i="19"/>
  <c r="E19" i="17"/>
  <c r="L31" i="17"/>
  <c r="D21" i="18"/>
  <c r="D26" i="18"/>
  <c r="D22" i="18"/>
  <c r="D20" i="18"/>
  <c r="D25" i="18"/>
  <c r="D30" i="18"/>
  <c r="D27" i="18"/>
  <c r="E27" i="17"/>
  <c r="D23" i="18"/>
  <c r="D19" i="18"/>
  <c r="O27" i="17"/>
  <c r="D29" i="18"/>
  <c r="D28" i="18"/>
  <c r="H27" i="17"/>
  <c r="D24" i="18"/>
  <c r="C21" i="18"/>
  <c r="F18" i="17"/>
  <c r="H16" i="5"/>
  <c r="I8" i="5"/>
  <c r="I16" i="5" s="1"/>
  <c r="G78" i="18"/>
  <c r="F73" i="18"/>
  <c r="H71" i="18"/>
  <c r="E68" i="18"/>
  <c r="F30" i="17"/>
  <c r="F78" i="18"/>
  <c r="H76" i="18"/>
  <c r="E73" i="18"/>
  <c r="G71" i="18"/>
  <c r="F74" i="18"/>
  <c r="H72" i="18"/>
  <c r="E69" i="18"/>
  <c r="G67" i="18"/>
  <c r="M30" i="17"/>
  <c r="G77" i="18"/>
  <c r="F72" i="18"/>
  <c r="H70" i="18"/>
  <c r="E67" i="18"/>
  <c r="F77" i="18"/>
  <c r="H75" i="18"/>
  <c r="E72" i="18"/>
  <c r="G70" i="18"/>
  <c r="E77" i="18"/>
  <c r="G75" i="18"/>
  <c r="F70" i="18"/>
  <c r="H68" i="18"/>
  <c r="E76" i="18"/>
  <c r="F69" i="18"/>
  <c r="I30" i="17"/>
  <c r="G72" i="18"/>
  <c r="F75" i="18"/>
  <c r="G68" i="18"/>
  <c r="H78" i="18"/>
  <c r="E75" i="18"/>
  <c r="F68" i="18"/>
  <c r="E78" i="18"/>
  <c r="F71" i="18"/>
  <c r="H74" i="18"/>
  <c r="E71" i="18"/>
  <c r="G74" i="18"/>
  <c r="H67" i="18"/>
  <c r="H77" i="18"/>
  <c r="E74" i="18"/>
  <c r="F67" i="18"/>
  <c r="H73" i="18"/>
  <c r="E70" i="18"/>
  <c r="G73" i="18"/>
  <c r="G76" i="18"/>
  <c r="H69" i="18"/>
  <c r="F76" i="18"/>
  <c r="G69" i="18"/>
  <c r="D131" i="18"/>
  <c r="D136" i="18"/>
  <c r="D132" i="18"/>
  <c r="E34" i="17"/>
  <c r="D142" i="18"/>
  <c r="O34" i="17"/>
  <c r="D135" i="18"/>
  <c r="D140" i="18"/>
  <c r="D133" i="18"/>
  <c r="D141" i="18"/>
  <c r="D137" i="18"/>
  <c r="H34" i="17"/>
  <c r="D139" i="18"/>
  <c r="D138" i="18"/>
  <c r="D134" i="18"/>
  <c r="C29" i="18"/>
  <c r="B5" i="19"/>
  <c r="G11" i="17"/>
  <c r="E11" i="17"/>
  <c r="F14" i="17"/>
  <c r="C8" i="19"/>
  <c r="F141" i="18"/>
  <c r="H139" i="18"/>
  <c r="E136" i="18"/>
  <c r="G134" i="18"/>
  <c r="E141" i="18"/>
  <c r="G139" i="18"/>
  <c r="F134" i="18"/>
  <c r="H132" i="18"/>
  <c r="I34" i="17"/>
  <c r="F142" i="18"/>
  <c r="H140" i="18"/>
  <c r="E137" i="18"/>
  <c r="G135" i="18"/>
  <c r="F140" i="18"/>
  <c r="H138" i="18"/>
  <c r="E135" i="18"/>
  <c r="G133" i="18"/>
  <c r="E140" i="18"/>
  <c r="G138" i="18"/>
  <c r="F133" i="18"/>
  <c r="H131" i="18"/>
  <c r="F138" i="18"/>
  <c r="H136" i="18"/>
  <c r="E133" i="18"/>
  <c r="G131" i="18"/>
  <c r="M34" i="17"/>
  <c r="H141" i="18"/>
  <c r="E138" i="18"/>
  <c r="G136" i="18"/>
  <c r="F131" i="18"/>
  <c r="G141" i="18"/>
  <c r="G137" i="18"/>
  <c r="H133" i="18"/>
  <c r="F137" i="18"/>
  <c r="G132" i="18"/>
  <c r="F136" i="18"/>
  <c r="F132" i="18"/>
  <c r="G140" i="18"/>
  <c r="E132" i="18"/>
  <c r="F139" i="18"/>
  <c r="H135" i="18"/>
  <c r="E131" i="18"/>
  <c r="F34" i="17"/>
  <c r="E139" i="18"/>
  <c r="F135" i="18"/>
  <c r="H134" i="18"/>
  <c r="H142" i="18"/>
  <c r="E134" i="18"/>
  <c r="G142" i="18"/>
  <c r="E142" i="18"/>
  <c r="H137" i="18"/>
  <c r="H125" i="18"/>
  <c r="E122" i="18"/>
  <c r="G120" i="18"/>
  <c r="F115" i="18"/>
  <c r="G125" i="18"/>
  <c r="F120" i="18"/>
  <c r="H118" i="18"/>
  <c r="E115" i="18"/>
  <c r="H126" i="18"/>
  <c r="E123" i="18"/>
  <c r="G121" i="18"/>
  <c r="F116" i="18"/>
  <c r="F126" i="18"/>
  <c r="H124" i="18"/>
  <c r="E121" i="18"/>
  <c r="G119" i="18"/>
  <c r="E126" i="18"/>
  <c r="G124" i="18"/>
  <c r="F119" i="18"/>
  <c r="H117" i="18"/>
  <c r="F124" i="18"/>
  <c r="H122" i="18"/>
  <c r="E119" i="18"/>
  <c r="G117" i="18"/>
  <c r="E124" i="18"/>
  <c r="G122" i="18"/>
  <c r="F117" i="18"/>
  <c r="H115" i="18"/>
  <c r="F125" i="18"/>
  <c r="H121" i="18"/>
  <c r="E117" i="18"/>
  <c r="E125" i="18"/>
  <c r="F121" i="18"/>
  <c r="I33" i="17"/>
  <c r="H120" i="18"/>
  <c r="H116" i="18"/>
  <c r="E120" i="18"/>
  <c r="G116" i="18"/>
  <c r="F33" i="17"/>
  <c r="E116" i="18"/>
  <c r="H123" i="18"/>
  <c r="G115" i="18"/>
  <c r="G123" i="18"/>
  <c r="H119" i="18"/>
  <c r="F123" i="18"/>
  <c r="G118" i="18"/>
  <c r="F122" i="18"/>
  <c r="F118" i="18"/>
  <c r="G126" i="18"/>
  <c r="E118" i="18"/>
  <c r="M33" i="17"/>
  <c r="C26" i="18"/>
  <c r="C24" i="18"/>
  <c r="B10" i="19"/>
  <c r="G16" i="17"/>
  <c r="E16" i="17"/>
  <c r="I9" i="7"/>
  <c r="I16" i="7" s="1"/>
  <c r="N31" i="17"/>
  <c r="L34" i="17"/>
  <c r="AV11" i="3"/>
  <c r="J11" i="3"/>
  <c r="F45" i="18"/>
  <c r="H43" i="18"/>
  <c r="E40" i="18"/>
  <c r="G38" i="18"/>
  <c r="E45" i="18"/>
  <c r="G43" i="18"/>
  <c r="F38" i="18"/>
  <c r="H36" i="18"/>
  <c r="I28" i="17"/>
  <c r="F46" i="18"/>
  <c r="H44" i="18"/>
  <c r="E41" i="18"/>
  <c r="G39" i="18"/>
  <c r="F44" i="18"/>
  <c r="H42" i="18"/>
  <c r="E39" i="18"/>
  <c r="G37" i="18"/>
  <c r="E44" i="18"/>
  <c r="G42" i="18"/>
  <c r="F37" i="18"/>
  <c r="H35" i="18"/>
  <c r="F42" i="18"/>
  <c r="H40" i="18"/>
  <c r="E37" i="18"/>
  <c r="G35" i="18"/>
  <c r="F41" i="18"/>
  <c r="F28" i="17"/>
  <c r="G44" i="18"/>
  <c r="H37" i="18"/>
  <c r="G40" i="18"/>
  <c r="F40" i="18"/>
  <c r="F43" i="18"/>
  <c r="G36" i="18"/>
  <c r="H46" i="18"/>
  <c r="E43" i="18"/>
  <c r="F36" i="18"/>
  <c r="G46" i="18"/>
  <c r="H39" i="18"/>
  <c r="E36" i="18"/>
  <c r="E46" i="18"/>
  <c r="F39" i="18"/>
  <c r="M28" i="17"/>
  <c r="H45" i="18"/>
  <c r="E42" i="18"/>
  <c r="F35" i="18"/>
  <c r="G45" i="18"/>
  <c r="H38" i="18"/>
  <c r="E35" i="18"/>
  <c r="H41" i="18"/>
  <c r="E38" i="18"/>
  <c r="G41" i="18"/>
  <c r="B4" i="19"/>
  <c r="E7" i="19"/>
  <c r="D15" i="19"/>
  <c r="E8" i="19"/>
  <c r="E6" i="19"/>
  <c r="E4" i="19"/>
  <c r="D14" i="19"/>
  <c r="D12" i="19"/>
  <c r="D10" i="19"/>
  <c r="D8" i="19"/>
  <c r="D6" i="19"/>
  <c r="D4" i="19"/>
  <c r="H14" i="17"/>
  <c r="D13" i="19"/>
  <c r="D7" i="19"/>
  <c r="H13" i="17"/>
  <c r="H21" i="17"/>
  <c r="H20" i="17"/>
  <c r="H12" i="17"/>
  <c r="D11" i="19"/>
  <c r="D5" i="19"/>
  <c r="H19" i="17"/>
  <c r="H18" i="17"/>
  <c r="H11" i="17"/>
  <c r="H17" i="17"/>
  <c r="H16" i="17"/>
  <c r="H10" i="17"/>
  <c r="D9" i="19"/>
  <c r="F6" i="17"/>
  <c r="H15" i="17"/>
  <c r="E10" i="17"/>
  <c r="H14" i="3"/>
  <c r="AX10" i="3"/>
  <c r="C62" i="18"/>
  <c r="C25" i="18"/>
  <c r="C28" i="18"/>
  <c r="B12" i="19"/>
  <c r="E18" i="17"/>
  <c r="C45" i="18"/>
  <c r="J28" i="17"/>
  <c r="D117" i="18"/>
  <c r="D122" i="18"/>
  <c r="D118" i="18"/>
  <c r="D116" i="18"/>
  <c r="D121" i="18"/>
  <c r="D126" i="18"/>
  <c r="O33" i="17"/>
  <c r="D119" i="18"/>
  <c r="D125" i="18"/>
  <c r="H33" i="17"/>
  <c r="D124" i="18"/>
  <c r="D120" i="18"/>
  <c r="E33" i="17"/>
  <c r="D115" i="18"/>
  <c r="D123" i="18"/>
  <c r="H29" i="18"/>
  <c r="E26" i="18"/>
  <c r="G24" i="18"/>
  <c r="F19" i="18"/>
  <c r="G29" i="18"/>
  <c r="F24" i="18"/>
  <c r="H22" i="18"/>
  <c r="E19" i="18"/>
  <c r="H30" i="18"/>
  <c r="E27" i="18"/>
  <c r="G25" i="18"/>
  <c r="F20" i="18"/>
  <c r="F30" i="18"/>
  <c r="H28" i="18"/>
  <c r="E25" i="18"/>
  <c r="G23" i="18"/>
  <c r="E30" i="18"/>
  <c r="G28" i="18"/>
  <c r="F23" i="18"/>
  <c r="H21" i="18"/>
  <c r="F28" i="18"/>
  <c r="H26" i="18"/>
  <c r="E23" i="18"/>
  <c r="G21" i="18"/>
  <c r="F27" i="18"/>
  <c r="G20" i="18"/>
  <c r="F27" i="17"/>
  <c r="G30" i="18"/>
  <c r="H23" i="18"/>
  <c r="E20" i="18"/>
  <c r="G26" i="18"/>
  <c r="H19" i="18"/>
  <c r="F26" i="18"/>
  <c r="G19" i="18"/>
  <c r="F29" i="18"/>
  <c r="G22" i="18"/>
  <c r="E29" i="18"/>
  <c r="F22" i="18"/>
  <c r="H25" i="18"/>
  <c r="E22" i="18"/>
  <c r="F25" i="18"/>
  <c r="M27" i="17"/>
  <c r="E28" i="18"/>
  <c r="F21" i="18"/>
  <c r="H24" i="18"/>
  <c r="E21" i="18"/>
  <c r="I27" i="17"/>
  <c r="H27" i="18"/>
  <c r="E24" i="18"/>
  <c r="G27" i="18"/>
  <c r="H20" i="18"/>
  <c r="E108" i="18"/>
  <c r="G106" i="18"/>
  <c r="F101" i="18"/>
  <c r="H99" i="18"/>
  <c r="F106" i="18"/>
  <c r="H104" i="18"/>
  <c r="E101" i="18"/>
  <c r="G99" i="18"/>
  <c r="M32" i="17"/>
  <c r="E109" i="18"/>
  <c r="G107" i="18"/>
  <c r="F102" i="18"/>
  <c r="H100" i="18"/>
  <c r="I32" i="17"/>
  <c r="H110" i="18"/>
  <c r="E107" i="18"/>
  <c r="G105" i="18"/>
  <c r="F100" i="18"/>
  <c r="G110" i="18"/>
  <c r="F105" i="18"/>
  <c r="H103" i="18"/>
  <c r="E100" i="18"/>
  <c r="F110" i="18"/>
  <c r="H108" i="18"/>
  <c r="E105" i="18"/>
  <c r="G103" i="18"/>
  <c r="E110" i="18"/>
  <c r="G108" i="18"/>
  <c r="F103" i="18"/>
  <c r="H101" i="18"/>
  <c r="G109" i="18"/>
  <c r="H105" i="18"/>
  <c r="F109" i="18"/>
  <c r="G104" i="18"/>
  <c r="F32" i="17"/>
  <c r="F108" i="18"/>
  <c r="F104" i="18"/>
  <c r="G100" i="18"/>
  <c r="E104" i="18"/>
  <c r="F99" i="18"/>
  <c r="H107" i="18"/>
  <c r="E103" i="18"/>
  <c r="E99" i="18"/>
  <c r="F107" i="18"/>
  <c r="H106" i="18"/>
  <c r="H102" i="18"/>
  <c r="E106" i="18"/>
  <c r="G102" i="18"/>
  <c r="E102" i="18"/>
  <c r="H109" i="18"/>
  <c r="G101" i="18"/>
  <c r="E15" i="19" l="1"/>
  <c r="F11" i="17"/>
  <c r="G18" i="17"/>
  <c r="E5" i="19"/>
  <c r="F16" i="17"/>
  <c r="E11" i="19"/>
  <c r="F21" i="17"/>
  <c r="F13" i="17"/>
  <c r="F12" i="17"/>
  <c r="E22" i="17"/>
  <c r="E10" i="19"/>
  <c r="E13" i="19"/>
  <c r="E14" i="19"/>
  <c r="E12" i="19"/>
  <c r="E9" i="19"/>
  <c r="C9" i="19"/>
  <c r="F15" i="17"/>
  <c r="C13" i="19"/>
  <c r="F19" i="17"/>
  <c r="G15" i="17"/>
  <c r="I21" i="17"/>
  <c r="I13" i="17"/>
  <c r="I20" i="17"/>
  <c r="I12" i="17"/>
  <c r="I19" i="17"/>
  <c r="I18" i="17"/>
  <c r="I11" i="17"/>
  <c r="I17" i="17"/>
  <c r="C4" i="19"/>
  <c r="I16" i="17"/>
  <c r="I10" i="17"/>
  <c r="H6" i="17"/>
  <c r="I15" i="17"/>
  <c r="F10" i="17"/>
  <c r="I14" i="17"/>
  <c r="H15" i="3"/>
  <c r="AX11" i="3"/>
  <c r="C11" i="19"/>
  <c r="F17" i="17"/>
  <c r="G10" i="17"/>
  <c r="J14" i="3"/>
  <c r="AV14" i="3"/>
  <c r="G17" i="17"/>
  <c r="J15" i="3" l="1"/>
  <c r="AV15" i="3"/>
  <c r="F22" i="17"/>
  <c r="H18" i="3"/>
  <c r="AX14" i="3"/>
  <c r="AV18" i="3" l="1"/>
  <c r="J18" i="3"/>
  <c r="H19" i="3"/>
  <c r="AX15" i="3"/>
  <c r="AV19" i="3" l="1"/>
  <c r="J19" i="3"/>
  <c r="AX18" i="3"/>
  <c r="H22" i="3"/>
  <c r="J22" i="3" l="1"/>
  <c r="AV22" i="3"/>
  <c r="H23" i="3"/>
  <c r="AX19" i="3"/>
  <c r="J23" i="3" l="1"/>
  <c r="AV23" i="3"/>
  <c r="H26" i="3"/>
  <c r="AX22" i="3"/>
  <c r="AV26" i="3" l="1"/>
  <c r="J26" i="3"/>
  <c r="AX23" i="3"/>
  <c r="H27" i="3"/>
  <c r="AV27" i="3" l="1"/>
  <c r="J27" i="3"/>
  <c r="H30" i="3"/>
  <c r="AX26" i="3"/>
  <c r="J30" i="3" l="1"/>
  <c r="AV30" i="3"/>
  <c r="H31" i="3"/>
  <c r="AX27" i="3"/>
  <c r="J31" i="3" l="1"/>
  <c r="AV31" i="3"/>
  <c r="H34" i="3"/>
  <c r="AX30" i="3"/>
  <c r="AV34" i="3" l="1"/>
  <c r="J34" i="3"/>
  <c r="H35" i="3"/>
  <c r="AX31" i="3"/>
  <c r="AV35" i="3" l="1"/>
  <c r="J35" i="3"/>
  <c r="AX34" i="3"/>
  <c r="AV38" i="3" l="1"/>
  <c r="J38" i="3"/>
  <c r="AX35" i="3"/>
  <c r="H39" i="3"/>
  <c r="J39" i="3" l="1"/>
  <c r="AV39" i="3"/>
  <c r="H42" i="3"/>
  <c r="AX38" i="3"/>
  <c r="AV42" i="3" l="1"/>
  <c r="J42" i="3"/>
  <c r="AX39" i="3"/>
  <c r="H43" i="3"/>
  <c r="AV43" i="3" l="1"/>
  <c r="J43" i="3"/>
  <c r="H46" i="3"/>
  <c r="AX42" i="3"/>
  <c r="AV46" i="3" l="1"/>
  <c r="J46" i="3"/>
  <c r="H47" i="3"/>
  <c r="AX43" i="3"/>
  <c r="J47" i="3" l="1"/>
  <c r="AV47" i="3"/>
  <c r="H50" i="3"/>
  <c r="AX46" i="3"/>
  <c r="AV50" i="3" l="1"/>
  <c r="J50" i="3"/>
  <c r="AX47" i="3"/>
  <c r="H51" i="3"/>
  <c r="H54" i="3" l="1"/>
  <c r="AX50" i="3"/>
  <c r="J51" i="3"/>
  <c r="AV51" i="3"/>
  <c r="H55" i="3" l="1"/>
  <c r="AX51" i="3"/>
  <c r="AV54" i="3"/>
  <c r="J54" i="3"/>
  <c r="H58" i="3" l="1"/>
  <c r="AX54" i="3"/>
  <c r="J55" i="3"/>
  <c r="AV55" i="3"/>
  <c r="AX55" i="3" l="1"/>
  <c r="H59" i="3"/>
  <c r="AV58" i="3"/>
  <c r="J58" i="3"/>
  <c r="H62" i="3" l="1"/>
  <c r="AX58" i="3"/>
  <c r="J59" i="3"/>
  <c r="AV59" i="3"/>
  <c r="H63" i="3" l="1"/>
  <c r="AX59" i="3"/>
  <c r="AV62" i="3"/>
  <c r="J62" i="3"/>
  <c r="H66" i="3" l="1"/>
  <c r="AX62" i="3"/>
  <c r="J63" i="3"/>
  <c r="AV63" i="3"/>
  <c r="AX63" i="3" l="1"/>
  <c r="H67" i="3"/>
  <c r="AV66" i="3"/>
  <c r="J66" i="3"/>
  <c r="H70" i="3" l="1"/>
  <c r="AX66" i="3"/>
  <c r="J67" i="3"/>
  <c r="AV67" i="3"/>
  <c r="AX67" i="3" l="1"/>
  <c r="H71" i="3"/>
  <c r="AV70" i="3"/>
  <c r="J70" i="3"/>
  <c r="J71" i="3" l="1"/>
  <c r="AV71" i="3"/>
  <c r="H74" i="3"/>
  <c r="AX70" i="3"/>
  <c r="AV74" i="3" l="1"/>
  <c r="J74" i="3"/>
  <c r="AX71" i="3"/>
  <c r="H75" i="3"/>
  <c r="AV75" i="3" l="1"/>
  <c r="J75" i="3"/>
  <c r="H78" i="3"/>
  <c r="AX74" i="3"/>
  <c r="AX75" i="3" l="1"/>
  <c r="H79" i="3"/>
  <c r="AV78" i="3"/>
  <c r="J78" i="3"/>
  <c r="H82" i="3" l="1"/>
  <c r="AX78" i="3"/>
  <c r="J79" i="3"/>
  <c r="AV79" i="3"/>
  <c r="AX79" i="3" l="1"/>
  <c r="H83" i="3"/>
  <c r="AV82" i="3"/>
  <c r="J82" i="3"/>
  <c r="H86" i="3" l="1"/>
  <c r="AX82" i="3"/>
  <c r="J83" i="3"/>
  <c r="AV83" i="3"/>
  <c r="H87" i="3" l="1"/>
  <c r="AX83" i="3"/>
  <c r="AV86" i="3"/>
  <c r="J86" i="3"/>
  <c r="H90" i="3" l="1"/>
  <c r="AX86" i="3"/>
  <c r="J87" i="3"/>
  <c r="AV87" i="3"/>
  <c r="AX87" i="3" l="1"/>
  <c r="H91" i="3"/>
  <c r="AV90" i="3"/>
  <c r="J90" i="3"/>
  <c r="H94" i="3" l="1"/>
  <c r="AX90" i="3"/>
  <c r="J91" i="3"/>
  <c r="AV91" i="3"/>
  <c r="AX91" i="3" l="1"/>
  <c r="H95" i="3"/>
  <c r="J94" i="3"/>
  <c r="AV94" i="3"/>
  <c r="AX94" i="3" l="1"/>
  <c r="H98" i="3"/>
  <c r="AV95" i="3"/>
  <c r="J95" i="3"/>
  <c r="AX95" i="3" l="1"/>
  <c r="H99" i="3"/>
  <c r="AV98" i="3"/>
  <c r="J98" i="3"/>
  <c r="AX98" i="3" l="1"/>
  <c r="H102" i="3"/>
  <c r="J99" i="3"/>
  <c r="AV99" i="3"/>
  <c r="H103" i="3" l="1"/>
  <c r="AX99" i="3"/>
  <c r="J102" i="3"/>
  <c r="AV102" i="3"/>
  <c r="AX102" i="3" l="1"/>
  <c r="H106" i="3"/>
  <c r="J103" i="3"/>
  <c r="AV103" i="3"/>
  <c r="AX103" i="3" l="1"/>
  <c r="H107" i="3"/>
  <c r="J106" i="3"/>
  <c r="E15" i="2" s="1"/>
  <c r="AV106" i="3"/>
  <c r="J111" i="3" l="1"/>
  <c r="AX106" i="3"/>
  <c r="AX111" i="3" s="1"/>
  <c r="AV107" i="3"/>
  <c r="J107" i="3"/>
  <c r="J112" i="3" l="1"/>
  <c r="F15" i="2"/>
  <c r="AX107" i="3"/>
  <c r="AX112" i="3" s="1"/>
  <c r="D7" i="18"/>
  <c r="D12" i="18"/>
  <c r="D8" i="18"/>
  <c r="D6" i="18"/>
  <c r="D11" i="18"/>
  <c r="D4" i="18"/>
  <c r="D3" i="18"/>
  <c r="D13" i="18"/>
  <c r="E26" i="17"/>
  <c r="D9" i="18"/>
  <c r="D5" i="18"/>
  <c r="O26" i="17"/>
  <c r="E24" i="2"/>
  <c r="D14" i="18"/>
  <c r="H26" i="17"/>
  <c r="D10" i="18"/>
  <c r="J26" i="17"/>
  <c r="E12" i="18" l="1"/>
  <c r="G10" i="18"/>
  <c r="F5" i="18"/>
  <c r="H3" i="18"/>
  <c r="F10" i="18"/>
  <c r="H8" i="18"/>
  <c r="E5" i="18"/>
  <c r="G3" i="18"/>
  <c r="M26" i="17"/>
  <c r="E13" i="18"/>
  <c r="G11" i="18"/>
  <c r="F6" i="18"/>
  <c r="H4" i="18"/>
  <c r="H14" i="18"/>
  <c r="E11" i="18"/>
  <c r="G9" i="18"/>
  <c r="F4" i="18"/>
  <c r="G14" i="18"/>
  <c r="F9" i="18"/>
  <c r="H7" i="18"/>
  <c r="E4" i="18"/>
  <c r="F14" i="18"/>
  <c r="H12" i="18"/>
  <c r="E9" i="18"/>
  <c r="G7" i="18"/>
  <c r="F13" i="18"/>
  <c r="G6" i="18"/>
  <c r="F26" i="17"/>
  <c r="H9" i="18"/>
  <c r="E6" i="18"/>
  <c r="G12" i="18"/>
  <c r="H5" i="18"/>
  <c r="F12" i="18"/>
  <c r="G5" i="18"/>
  <c r="G8" i="18"/>
  <c r="F8" i="18"/>
  <c r="H11" i="18"/>
  <c r="E8" i="18"/>
  <c r="F11" i="18"/>
  <c r="G4" i="18"/>
  <c r="E14" i="18"/>
  <c r="F7" i="18"/>
  <c r="H10" i="18"/>
  <c r="E7" i="18"/>
  <c r="I26" i="17"/>
  <c r="H13" i="18"/>
  <c r="E10" i="18"/>
  <c r="F3" i="18"/>
  <c r="G13" i="18"/>
  <c r="H6" i="18"/>
  <c r="E3" i="18"/>
  <c r="F24" i="2"/>
  <c r="R6" i="17" s="1"/>
  <c r="L26" i="17"/>
  <c r="K26" i="17"/>
  <c r="N26" i="17"/>
  <c r="F15" i="19"/>
  <c r="E17" i="19" s="1"/>
  <c r="E19" i="19" s="1"/>
  <c r="F14" i="19"/>
  <c r="F12" i="19"/>
  <c r="F10" i="19"/>
  <c r="F8" i="19"/>
  <c r="F6" i="19"/>
  <c r="F4" i="19"/>
  <c r="F13" i="19"/>
  <c r="F7" i="19"/>
  <c r="L21" i="17"/>
  <c r="J13" i="17"/>
  <c r="L12" i="17"/>
  <c r="L20" i="17"/>
  <c r="L19" i="17"/>
  <c r="J21" i="17"/>
  <c r="J20" i="17"/>
  <c r="L18" i="17"/>
  <c r="J12" i="17"/>
  <c r="L11" i="17"/>
  <c r="J19" i="17"/>
  <c r="L17" i="17"/>
  <c r="F11" i="19"/>
  <c r="F5" i="19"/>
  <c r="J18" i="17"/>
  <c r="L16" i="17"/>
  <c r="J11" i="17"/>
  <c r="L10" i="17"/>
  <c r="J17" i="17"/>
  <c r="J16" i="17"/>
  <c r="L15" i="17"/>
  <c r="J10" i="17"/>
  <c r="J6" i="17"/>
  <c r="J7" i="17" s="1"/>
  <c r="F9" i="19"/>
  <c r="J15" i="17"/>
  <c r="L14" i="17"/>
  <c r="J14" i="17"/>
  <c r="L13" i="17"/>
  <c r="B6" i="17"/>
  <c r="N10" i="17"/>
  <c r="N14" i="17"/>
  <c r="N21" i="17"/>
  <c r="N11" i="17"/>
  <c r="N15" i="17"/>
  <c r="N17" i="17"/>
  <c r="N13" i="17"/>
  <c r="N19" i="17"/>
  <c r="N16" i="17"/>
  <c r="N12" i="17"/>
  <c r="N18" i="17"/>
  <c r="N20" i="17"/>
  <c r="K20" i="17" l="1"/>
  <c r="M19" i="17"/>
  <c r="G15" i="19"/>
  <c r="G13" i="19"/>
  <c r="G11" i="19"/>
  <c r="G9" i="19"/>
  <c r="G7" i="19"/>
  <c r="G5" i="19"/>
  <c r="G14" i="19"/>
  <c r="G12" i="19"/>
  <c r="G10" i="19"/>
  <c r="G8" i="19"/>
  <c r="G6" i="19"/>
  <c r="G4" i="19"/>
  <c r="M20" i="17"/>
  <c r="K21" i="17"/>
  <c r="M18" i="17"/>
  <c r="K12" i="17"/>
  <c r="M11" i="17"/>
  <c r="K19" i="17"/>
  <c r="M17" i="17"/>
  <c r="K18" i="17"/>
  <c r="M16" i="17"/>
  <c r="K11" i="17"/>
  <c r="M10" i="17"/>
  <c r="K17" i="17"/>
  <c r="P6" i="17"/>
  <c r="K16" i="17"/>
  <c r="M15" i="17"/>
  <c r="K10" i="17"/>
  <c r="L6" i="17"/>
  <c r="K15" i="17"/>
  <c r="M14" i="17"/>
  <c r="K14" i="17"/>
  <c r="M13" i="17"/>
  <c r="D6" i="17"/>
  <c r="M21" i="17"/>
  <c r="K13" i="17"/>
  <c r="M12" i="17"/>
  <c r="O17" i="17"/>
  <c r="N6" i="17"/>
  <c r="P19" i="17"/>
  <c r="P16" i="17"/>
  <c r="O21" i="17"/>
  <c r="O19" i="17"/>
  <c r="O18" i="17"/>
  <c r="P20" i="17"/>
  <c r="P18" i="17"/>
  <c r="O15" i="17"/>
  <c r="P13" i="17"/>
  <c r="O12" i="17"/>
  <c r="P17" i="17"/>
  <c r="P10" i="17"/>
  <c r="O11" i="17"/>
  <c r="P21" i="17"/>
  <c r="O20" i="17"/>
  <c r="O16" i="17"/>
  <c r="O10" i="17"/>
  <c r="P14" i="17"/>
  <c r="O13" i="17"/>
  <c r="P12" i="17"/>
  <c r="P15" i="17"/>
  <c r="O14" i="17"/>
  <c r="P11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<sst xmlns="http://schemas.openxmlformats.org/spreadsheetml/2006/main" count="819" uniqueCount="260">
  <si>
    <t>WORKBOOK STRUCTURE</t>
  </si>
  <si>
    <t>⚙️ Setup</t>
  </si>
  <si>
    <t>Enter contract metadata, CLIN ceiling &amp; funded values. This is the master reference for all other sheets.</t>
  </si>
  <si>
    <t>📝 Mod Tracker</t>
  </si>
  <si>
    <t>Log every contract modification (P00001, P00002…). Each mod updates ceiling/funding and the history is preserved.</t>
  </si>
  <si>
    <t>📅 Monthly Tabs</t>
  </si>
  <si>
    <t>13 monthly tabs (Feb partial → Feb partial). Enter Prime Actuals, Sub Actuals, and Forecast per CLIN each month.</t>
  </si>
  <si>
    <t>📊 Burn Summary</t>
  </si>
  <si>
    <t>Auto-calculated YTD roll-up: KPI banner, monthly table, CLIN-level summary, status flags, % burned.</t>
  </si>
  <si>
    <t>📈 CLIN Charts</t>
  </si>
  <si>
    <t>One burn chart per CLIN showing Ceiling, Funding, Actuals, and Actuals+Forecast projected to contract end.</t>
  </si>
  <si>
    <t>COLOR LEGEND</t>
  </si>
  <si>
    <t>Blue text / blue bg</t>
  </si>
  <si>
    <t>Input cell — enter your data here</t>
  </si>
  <si>
    <t>Black text / gray bg</t>
  </si>
  <si>
    <t>Formula / auto-calculated — do not overwrite</t>
  </si>
  <si>
    <t>Green text</t>
  </si>
  <si>
    <t>Cross-sheet link — auto-populated from another tab</t>
  </si>
  <si>
    <t>Yellow background</t>
  </si>
  <si>
    <t>Key assumption — review before use</t>
  </si>
  <si>
    <t>⚠️ NEAR LIMIT (red)</t>
  </si>
  <si>
    <t>Cumulative burn ≥ 95% of funded amount</t>
  </si>
  <si>
    <t>🟡 CAUTION (amber)</t>
  </si>
  <si>
    <t>Cumulative burn ≥ 80% of funded amount</t>
  </si>
  <si>
    <t>✅ ON TRACK (green)</t>
  </si>
  <si>
    <t>Cumulative burn &lt; 80% of funded amount</t>
  </si>
  <si>
    <t>CONTRACT SETUP &amp; CLIN MASTER</t>
  </si>
  <si>
    <t>CONTRACT METADATA</t>
  </si>
  <si>
    <t>Contract Number</t>
  </si>
  <si>
    <t>Program</t>
  </si>
  <si>
    <t>Prime</t>
  </si>
  <si>
    <t>Primary Client</t>
  </si>
  <si>
    <t>Secondary Client</t>
  </si>
  <si>
    <t>NTIA</t>
  </si>
  <si>
    <t>PoP Start</t>
  </si>
  <si>
    <t>PoP End</t>
  </si>
  <si>
    <t>PM</t>
  </si>
  <si>
    <t>CLIN MASTER — CURRENT VALUES (Updated by Mod Tracker)</t>
  </si>
  <si>
    <t>CLIN</t>
  </si>
  <si>
    <t>Description</t>
  </si>
  <si>
    <t>Type</t>
  </si>
  <si>
    <t>Current Ceiling ($)</t>
  </si>
  <si>
    <t>Current Funded ($)</t>
  </si>
  <si>
    <t>Sub?</t>
  </si>
  <si>
    <t>Notes</t>
  </si>
  <si>
    <t>1005</t>
  </si>
  <si>
    <t>Project Management</t>
  </si>
  <si>
    <t>FFP</t>
  </si>
  <si>
    <t>No</t>
  </si>
  <si>
    <t>1006</t>
  </si>
  <si>
    <t>Software Maintenance</t>
  </si>
  <si>
    <t>CPFF</t>
  </si>
  <si>
    <t>1007</t>
  </si>
  <si>
    <t>Software Development</t>
  </si>
  <si>
    <t>1008</t>
  </si>
  <si>
    <t>O&amp;M</t>
  </si>
  <si>
    <t>1009</t>
  </si>
  <si>
    <t>Tier 3 Helpdesk</t>
  </si>
  <si>
    <t>1010</t>
  </si>
  <si>
    <t>Training</t>
  </si>
  <si>
    <t>1016</t>
  </si>
  <si>
    <t>1017</t>
  </si>
  <si>
    <t>Other Direct Costs</t>
  </si>
  <si>
    <t>COST</t>
  </si>
  <si>
    <t>1018</t>
  </si>
  <si>
    <t>Travel</t>
  </si>
  <si>
    <t>TOTAL</t>
  </si>
  <si>
    <t>📝 CONTRACT MODIFICATION TRACKER — PRIME</t>
  </si>
  <si>
    <t>FROM BY TO format: enter FROM (prior value) and BY (change delta). TO = FROM + BY (auto-calculated). FROM auto-fills from prior MOD's TO. MOD TYPES: Funding ▪ Scope ▪ Admin ▪ Clause/Language ▪ Mixed</t>
  </si>
  <si>
    <t>FROM BY TO LOGIC:  "This MOD is increased FROM $500,000  BY $100,000  TO $600,000"  |  FROM auto-populates from prior MOD's TO  ·  BY = your delta input (blue)  ·  TO = FROM + BY (auto)</t>
  </si>
  <si>
    <t>Modification Details</t>
  </si>
  <si>
    <t>CLIN 1005 — Proj. Mgmt (FFP)</t>
  </si>
  <si>
    <t>CLIN 1006 — SW Maint. (CPFF)</t>
  </si>
  <si>
    <t>CLIN 1007 — SW Dev. (CPFF)</t>
  </si>
  <si>
    <t>CLIN 1008 — O&amp;M (CPFF)</t>
  </si>
  <si>
    <t>CLIN 1009 — Tier 3 Help (FFP)</t>
  </si>
  <si>
    <t>CLIN 1010 — Training (FFP)</t>
  </si>
  <si>
    <t>CLIN 1016 — NTIA (FFP)</t>
  </si>
  <si>
    <t>CLIN 1017 — ODCs (COST)</t>
  </si>
  <si>
    <t>CLIN 1018 — Travel (COST)</t>
  </si>
  <si>
    <t>CONTRACT TOTAL (All CLINs)</t>
  </si>
  <si>
    <t>MOD #</t>
  </si>
  <si>
    <t>Eff. Date</t>
  </si>
  <si>
    <t>MOD Type</t>
  </si>
  <si>
    <t>Description / What This MOD Changes</t>
  </si>
  <si>
    <t>Row</t>
  </si>
  <si>
    <t>FROM ($)</t>
  </si>
  <si>
    <t>BY ($)</t>
  </si>
  <si>
    <t>TO ($)</t>
  </si>
  <si>
    <t>AWARD
(Baseline)</t>
  </si>
  <si>
    <t>Contract award — original baseline values. Enter award ceiling and funding amounts.</t>
  </si>
  <si>
    <t>CEILING</t>
  </si>
  <si>
    <t>N/A</t>
  </si>
  <si>
    <t>FUNDING</t>
  </si>
  <si>
    <t>P00001</t>
  </si>
  <si>
    <t>📋 MOD SNAPSHOT — What does this modification do? (enter description: funding increase, scope change, new clause, administrative, etc.)</t>
  </si>
  <si>
    <t>P00002</t>
  </si>
  <si>
    <t>P00003</t>
  </si>
  <si>
    <t>P00004</t>
  </si>
  <si>
    <t>P00005</t>
  </si>
  <si>
    <t>P00006</t>
  </si>
  <si>
    <t>P00007</t>
  </si>
  <si>
    <t>Mixed</t>
  </si>
  <si>
    <t>• Incorporate DFARS 252.204-7021
• Incorporate revised PWS (Removal of v5 vs v6 nomenclature)
• Provide BY funding in amount of $153,073.42</t>
  </si>
  <si>
    <t>P00008</t>
  </si>
  <si>
    <t xml:space="preserve">Mixed </t>
  </si>
  <si>
    <t xml:space="preserve">• Realign ceiling and funding for BY CLIN 0017 &amp; 0018
• Incorporate revisied 6.10 - Training PWS 
• Exercise OY1
• Provide OY1 funding </t>
  </si>
  <si>
    <t>P00009</t>
  </si>
  <si>
    <t>• Provide incremental funding of $1,792,646.95
• Update DFARS 252.232-7007 Limitation of Government Obligation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</si>
  <si>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</si>
  <si>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</si>
  <si>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</si>
  <si>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</si>
  <si>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</si>
  <si>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</si>
  <si>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</si>
  <si>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</si>
  <si>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</si>
  <si>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</si>
  <si>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</si>
  <si>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</si>
  <si>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</si>
  <si>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</si>
  <si>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</si>
  <si>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</si>
  <si>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CURRENT CONTRACT VALUE
(Award + All Modifications)</t>
  </si>
  <si>
    <t>CURRENT →</t>
  </si>
  <si>
    <t>💼 LABOR FORECAST — CPFF CLINs 1006 | 1007 | 1008</t>
  </si>
  <si>
    <t>Enter hours in BLUE cells. Cost = Hours × Burdened Rate × 1.08 (CPFF fee). CPFF CLIN Forecast cells in monthly burn tabs auto-populate from this sheet.</t>
  </si>
  <si>
    <t>CPFF FEE RATE (Cost Plus Fixed Fee — applied to all labor costs):</t>
  </si>
  <si>
    <t>Fee Rate:</t>
  </si>
  <si>
    <t>← Editable. Default = 8%. Changing updates ALL cost calculations automatically.</t>
  </si>
  <si>
    <t>Labor Category</t>
  </si>
  <si>
    <t>Employee</t>
  </si>
  <si>
    <t>Company</t>
  </si>
  <si>
    <t>Burdened Rate ($/hr)</t>
  </si>
  <si>
    <t>Updated Rates</t>
  </si>
  <si>
    <t>Feb-Mar (M1)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</si>
  <si>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</si>
  <si>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</si>
  <si>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</si>
  <si>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</si>
  <si>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</si>
  <si>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</si>
  <si>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</si>
  <si>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</si>
  <si>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</si>
  <si>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</si>
  <si>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 1-23</t>
  </si>
  <si>
    <t>ANNUAL TOTAL</t>
  </si>
  <si>
    <t>Hours</t>
  </si>
  <si>
    <t>Cost+Fee ($)</t>
  </si>
  <si>
    <t>Total Hrs</t>
  </si>
  <si>
    <t>Total Cost+Fee ($)</t>
  </si>
  <si>
    <t>CLIN 1006 — Software Maintenance</t>
  </si>
  <si>
    <t>Software Engineer - Mid</t>
  </si>
  <si>
    <t>Software Engineer - Senior</t>
  </si>
  <si>
    <t>Systems Engineer - Mid</t>
  </si>
  <si>
    <t>Cybersecurity Engineer - Senior</t>
  </si>
  <si>
    <t xml:space="preserve">Test Engineer - Mid </t>
  </si>
  <si>
    <t>TOTAL — CLIN 1006</t>
  </si>
  <si>
    <t>CLIN 1007 — Software Development</t>
  </si>
  <si>
    <t>TOTAL — CLIN 1007</t>
  </si>
  <si>
    <t>CLIN 1008 — O&amp;M</t>
  </si>
  <si>
    <t>Database Specialist - Senior</t>
  </si>
  <si>
    <t>Systems Engineer - Senior</t>
  </si>
  <si>
    <t>Systems/nit Engineer</t>
  </si>
  <si>
    <t>\</t>
  </si>
  <si>
    <t>TOTAL — CLIN 1008</t>
  </si>
  <si>
    <t>Feb 24–Mar 31 — Monthly Burn Entry (Invoice Month 1)</t>
  </si>
  <si>
    <t>Blue = enter data | Gray = formula | Green = cross-sheet link. Sub Actuals col locked for non-sub CLINs.</t>
  </si>
  <si>
    <t>🟢 CPFF CLINs 1006/1007/1008 — Forecast auto-calculated from 💼 Labor Forecast tab. | FFP/ODC CLINs 1005/1009/1010/1016/1017/1018 — enter Forecast directly in blue cells.</t>
  </si>
  <si>
    <t>Prime Actuals ($)</t>
  </si>
  <si>
    <t>Sub Actuals ($)</t>
  </si>
  <si>
    <t>Total Actuals ($)</t>
  </si>
  <si>
    <t>Forecast ($)</t>
  </si>
  <si>
    <t>Variance ($)</t>
  </si>
  <si>
    <t>• Teammates not provided updated, equal split billing guidance. Therefore, BL teammates all billed 1006, and TH had a split between 1006 + 1007
• Waiss Q. was not forecasted to come back on paternity leave</t>
  </si>
  <si>
    <t>Detailed Summary of Total Variance</t>
  </si>
  <si>
    <t>April — Monthly Burn Entry (M2)</t>
  </si>
  <si>
    <t xml:space="preserve">SQL (90k), Crayon (7k), </t>
  </si>
  <si>
    <t>May — Monthly Burn Entry (M3)</t>
  </si>
  <si>
    <t>June — Monthly Burn Entry (M4)</t>
  </si>
  <si>
    <t>July — Monthly Burn Entry (M5)</t>
  </si>
  <si>
    <t>August — Monthly Burn Entry (M6)</t>
  </si>
  <si>
    <t>September — Monthly Burn Entry (M7)</t>
  </si>
  <si>
    <t>October — Monthly Burn Entry (M8)</t>
  </si>
  <si>
    <t>November — Monthly Burn Entry (M9)</t>
  </si>
  <si>
    <t>December — Monthly Burn Entry (M10)</t>
  </si>
  <si>
    <t>January — Monthly Burn Entry (M11)</t>
  </si>
  <si>
    <t>Feb (1st-23rd) — Monthly Burn Entry</t>
  </si>
  <si>
    <t>BURN RATE SUMMARY — OPTION YEAR 1 OVERVIEW</t>
  </si>
  <si>
    <t>All values auto-calculated. Do not manually edit this sheet.</t>
  </si>
  <si>
    <t>Contract Ceiling</t>
  </si>
  <si>
    <t>Total Funded</t>
  </si>
  <si>
    <t>YTD Billed</t>
  </si>
  <si>
    <t>YTD Forecast **NOT EAC**</t>
  </si>
  <si>
    <t>Remaining Ceiling</t>
  </si>
  <si>
    <t>Remaining Funding</t>
  </si>
  <si>
    <t>% Burned vs Funded</t>
  </si>
  <si>
    <t>% Funded vs Ceiling</t>
  </si>
  <si>
    <t>Unfunded</t>
  </si>
  <si>
    <t>MONTHLY ACTUALS vs FORECAST vs CUMULATIVE BURN</t>
  </si>
  <si>
    <t>Month</t>
  </si>
  <si>
    <t>Prime Act</t>
  </si>
  <si>
    <t>Sub Act</t>
  </si>
  <si>
    <t>Total Act</t>
  </si>
  <si>
    <t>Forecast</t>
  </si>
  <si>
    <t>Variance</t>
  </si>
  <si>
    <t>Cum Act</t>
  </si>
  <si>
    <t>Cum Fore</t>
  </si>
  <si>
    <t>Ceiling</t>
  </si>
  <si>
    <t>Funded</t>
  </si>
  <si>
    <t>Ceil Rem</t>
  </si>
  <si>
    <t>Fund Rem</t>
  </si>
  <si>
    <t>% Burn/Ceil</t>
  </si>
  <si>
    <t>% Burn/Fund</t>
  </si>
  <si>
    <t>Status</t>
  </si>
  <si>
    <t>Feb (1st-23rd)</t>
  </si>
  <si>
    <t>CLIN-LEVEL ANNUAL BURN SUMMARY</t>
  </si>
  <si>
    <t>Ceiling ($)</t>
  </si>
  <si>
    <t>Funded ($)</t>
  </si>
  <si>
    <t>Total Billed</t>
  </si>
  <si>
    <t>Rem Ceiling</t>
  </si>
  <si>
    <t>Rem Funding</t>
  </si>
  <si>
    <t>% Funded
vs Ceiling</t>
  </si>
  <si>
    <t>Unfunded ($)
(Ceiling − Funded)</t>
  </si>
  <si>
    <t>CLIN 1005 — Project Management (FFP)</t>
  </si>
  <si>
    <t>Cum Actuals (WAWF)</t>
  </si>
  <si>
    <t>EAC: Act + Remaining Forecast</t>
  </si>
  <si>
    <t>75% Threshold</t>
  </si>
  <si>
    <t>100% Threshold</t>
  </si>
  <si>
    <t>100% Threshold ($)</t>
  </si>
  <si>
    <t>Feb-Mar</t>
  </si>
  <si>
    <t>Apr</t>
  </si>
  <si>
    <t>Jun</t>
  </si>
  <si>
    <t>Jul</t>
  </si>
  <si>
    <t>Aug</t>
  </si>
  <si>
    <t>Sep</t>
  </si>
  <si>
    <t>Oct</t>
  </si>
  <si>
    <t>Nov</t>
  </si>
  <si>
    <t>Dec</t>
  </si>
  <si>
    <t>Jan</t>
  </si>
  <si>
    <t>Feb-E</t>
  </si>
  <si>
    <t>⚠️ Projected 75% Expenditure Month:</t>
  </si>
  <si>
    <t>🔴 Projected 100% Expenditure Month:</t>
  </si>
  <si>
    <t>CLIN 1006 — Software Maintenance (CPFF)</t>
  </si>
  <si>
    <t>CLIN 1007 — Software Development (CPFF)</t>
  </si>
  <si>
    <t>CLIN 1009 — Tier 3 Helpdesk (FFP)</t>
  </si>
  <si>
    <t>OVERALL CONTRACT BURN — Monthly Actual vs Forecast &amp; Cumulative EAC</t>
  </si>
  <si>
    <t>Monthly Actual ($)</t>
  </si>
  <si>
    <t>Monthly Forecast ($)</t>
  </si>
  <si>
    <t>EAC: Act + Rem. Forecast</t>
  </si>
  <si>
    <t>Mar</t>
  </si>
  <si>
    <t>Projected Contract Overage (Variance)</t>
  </si>
  <si>
    <t xml:space="preserve">% amount </t>
  </si>
  <si>
    <t>Amt avail to spend</t>
  </si>
  <si>
    <t xml:space="preserve">• 1006, 1007 - Q. not in Labor forecast for M1 due to earlier than planned return date from paternity leave; if we were to add his hours into the forecast, we would have had a 3k TOTAL variance (after accounting for the increased Crayon costs) instead of 21K
• ODC - Crayon was only projected to be 7k but due to the part of Feb and March being combined the total was a little less than double the projected amount </t>
  </si>
  <si>
    <t>XXX - CONTRACT BURN RATE TRACKER</t>
  </si>
  <si>
    <t xml:space="preserve">PoP: 24 Feb 2025 – 23 Feb 2026  |  Prime: xxxxxx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</si>
</sst>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\$#,##0;&quot;($&quot;#,##0\);\-"/>
    <numFmt numFmtId="165" formatCode="_(\$* #,##0.00_);_(\$* \(#,##0.00\);_(\$* \-??_);_(@_)"/>
    <numFmt numFmtId="166" formatCode="0.0%;\(0.0%\);\-"/>
    <numFmt numFmtId="167" formatCode="\$#,##0.00;&quot;($&quot;#,##0.00\);\-"/>
    <numFmt numFmtId="168" formatCode="#,##0.0;\(#,##0.0\);\-"/>
    <numFmt numFmtId="169" formatCode="\$#,##0.00"/>
    <numFmt numFmtId="170" formatCode="&quot;$&quot;#,##0.00"/>
    <numFmt numFmtId="171" formatCode="\$#,##0.00;\(\$#,##0.00\);&quot;-&quot;"/>
    <numFmt numFmtId="172" formatCode="mm/dd/yyyy"/>
  </numFmts>
  <fonts count="3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i/>
      <sz val="9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i/>
      <sz val="9"/>
      <color rgb="FF595959"/>
      <name val="Arial"/>
      <family val="2"/>
      <charset val="1"/>
    </font>
    <font>
      <sz val="10"/>
      <color rgb="FF008000"/>
      <name val="Arial"/>
      <family val="2"/>
      <charset val="1"/>
    </font>
    <font>
      <b/>
      <i/>
      <sz val="9"/>
      <color rgb="FF1F7A8C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3"/>
      <color rgb="FF000000"/>
      <name val="Arial"/>
      <family val="2"/>
      <charset val="1"/>
    </font>
    <font>
      <b/>
      <sz val="9"/>
      <color rgb="FFFFC000"/>
      <name val="Arial"/>
      <family val="2"/>
      <charset val="1"/>
    </font>
    <font>
      <b/>
      <sz val="10"/>
      <color rgb="FFFFC000"/>
      <name val="Arial"/>
      <family val="2"/>
      <charset val="1"/>
    </font>
    <font>
      <b/>
      <sz val="9"/>
      <color rgb="FFFF000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3"/>
      <color rgb="FFFFFFFF"/>
      <name val="Arial"/>
      <family val="2"/>
      <charset val="1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10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1"/>
      <color rgb="FFFFFFFF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8A"/>
        <bgColor rgb="FF1F7A8C"/>
      </patternFill>
    </fill>
    <fill>
      <patternFill patternType="solid">
        <fgColor rgb="FFD9D9D9"/>
        <bgColor rgb="FFBDD7EE"/>
      </patternFill>
    </fill>
    <fill>
      <patternFill patternType="solid">
        <fgColor rgb="FFF2F2F2"/>
        <bgColor rgb="FFE2EFDA"/>
      </patternFill>
    </fill>
    <fill>
      <patternFill patternType="solid">
        <fgColor rgb="FFBDD7EE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7A8C"/>
        <bgColor rgb="FF2E5F8A"/>
      </patternFill>
    </fill>
    <fill>
      <patternFill patternType="solid">
        <fgColor rgb="FFE2EFDA"/>
        <bgColor rgb="FFF2F2F2"/>
      </patternFill>
    </fill>
    <fill>
      <patternFill patternType="solid">
        <fgColor rgb="FF7030A0"/>
        <bgColor rgb="FF993366"/>
      </patternFill>
    </fill>
    <fill>
      <patternFill patternType="solid">
        <fgColor rgb="FFE26B0A"/>
        <bgColor rgb="FFFF9900"/>
      </patternFill>
    </fill>
    <fill>
      <patternFill patternType="solid">
        <fgColor rgb="FFFFF2CC"/>
        <bgColor rgb="FFF2F2F2"/>
      </patternFill>
    </fill>
    <fill>
      <patternFill patternType="solid">
        <fgColor rgb="FFFFE0E0"/>
        <bgColor rgb="FFFFF2CC"/>
      </patternFill>
    </fill>
    <fill>
      <patternFill patternType="solid">
        <fgColor rgb="FF2E8B57"/>
        <bgColor rgb="FF1F7A8C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1F3864"/>
      </patternFill>
    </fill>
    <fill>
      <patternFill patternType="solid">
        <fgColor rgb="FF2E5F8A"/>
      </patternFill>
    </fill>
    <fill>
      <patternFill patternType="solid">
        <fgColor rgb="FFFFF2CC"/>
      </patternFill>
    </fill>
    <fill>
      <patternFill patternType="solid">
        <fgColor rgb="FF1F7A8C"/>
      </patternFill>
    </fill>
    <fill>
      <patternFill patternType="solid">
        <fgColor rgb="FF145C6B"/>
      </patternFill>
    </fill>
    <fill>
      <patternFill patternType="solid">
        <fgColor rgb="FF7030A0"/>
      </patternFill>
    </fill>
    <fill>
      <patternFill patternType="solid">
        <fgColor rgb="FF4A7C59"/>
      </patternFill>
    </fill>
    <fill>
      <patternFill patternType="solid">
        <fgColor rgb="FF7B2D00"/>
      </patternFill>
    </fill>
    <fill>
      <patternFill patternType="solid">
        <fgColor rgb="FF4A5568"/>
      </patternFill>
    </fill>
    <fill>
      <patternFill patternType="solid">
        <fgColor rgb="FF6B4226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8F8F8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166" fontId="14" fillId="6" borderId="1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44" fontId="0" fillId="0" borderId="0" xfId="0" applyNumberFormat="1"/>
    <xf numFmtId="0" fontId="28" fillId="32" borderId="14" xfId="0" applyFont="1" applyFill="1" applyBorder="1" applyAlignment="1">
      <alignment horizontal="center" vertical="center" wrapText="1"/>
    </xf>
    <xf numFmtId="171" fontId="29" fillId="33" borderId="14" xfId="0" applyNumberFormat="1" applyFont="1" applyFill="1" applyBorder="1" applyAlignment="1">
      <alignment horizontal="right" vertical="center"/>
    </xf>
    <xf numFmtId="171" fontId="30" fillId="34" borderId="14" xfId="0" applyNumberFormat="1" applyFont="1" applyFill="1" applyBorder="1" applyAlignment="1">
      <alignment horizontal="right" vertical="center"/>
    </xf>
    <xf numFmtId="171" fontId="32" fillId="34" borderId="14" xfId="0" applyNumberFormat="1" applyFont="1" applyFill="1" applyBorder="1" applyAlignment="1">
      <alignment horizontal="right" vertical="center"/>
    </xf>
    <xf numFmtId="171" fontId="30" fillId="33" borderId="14" xfId="0" applyNumberFormat="1" applyFont="1" applyFill="1" applyBorder="1" applyAlignment="1">
      <alignment horizontal="right" vertical="center"/>
    </xf>
    <xf numFmtId="0" fontId="0" fillId="35" borderId="14" xfId="0" applyFill="1" applyBorder="1"/>
    <xf numFmtId="0" fontId="26" fillId="22" borderId="14" xfId="0" applyFont="1" applyFill="1" applyBorder="1" applyAlignment="1">
      <alignment horizontal="right" vertical="center"/>
    </xf>
    <xf numFmtId="0" fontId="0" fillId="22" borderId="14" xfId="0" applyFill="1" applyBorder="1"/>
    <xf numFmtId="171" fontId="33" fillId="21" borderId="15" xfId="0" applyNumberFormat="1" applyFont="1" applyFill="1" applyBorder="1" applyAlignment="1">
      <alignment horizontal="right" vertical="center"/>
    </xf>
    <xf numFmtId="0" fontId="25" fillId="22" borderId="14" xfId="0" applyFont="1" applyFill="1" applyBorder="1" applyAlignment="1">
      <alignment horizontal="center" vertical="center" wrapText="1"/>
    </xf>
    <xf numFmtId="0" fontId="25" fillId="21" borderId="14" xfId="0" applyFont="1" applyFill="1" applyBorder="1" applyAlignment="1">
      <alignment horizontal="center" vertical="center" wrapText="1"/>
    </xf>
    <xf numFmtId="0" fontId="25" fillId="27" borderId="14" xfId="0" applyFont="1" applyFill="1" applyBorder="1" applyAlignment="1">
      <alignment horizontal="center" vertical="center" wrapText="1"/>
    </xf>
    <xf numFmtId="0" fontId="25" fillId="28" borderId="14" xfId="0" applyFont="1" applyFill="1" applyBorder="1" applyAlignment="1">
      <alignment horizontal="center" vertical="center" wrapText="1"/>
    </xf>
    <xf numFmtId="0" fontId="25" fillId="24" borderId="14" xfId="0" applyFont="1" applyFill="1" applyBorder="1" applyAlignment="1">
      <alignment horizontal="center" vertical="center" wrapText="1"/>
    </xf>
    <xf numFmtId="0" fontId="25" fillId="26" borderId="14" xfId="0" applyFont="1" applyFill="1" applyBorder="1" applyAlignment="1">
      <alignment horizontal="center" vertical="center" wrapText="1"/>
    </xf>
    <xf numFmtId="0" fontId="25" fillId="29" borderId="14" xfId="0" applyFont="1" applyFill="1" applyBorder="1" applyAlignment="1">
      <alignment horizontal="center" vertical="center" wrapText="1"/>
    </xf>
    <xf numFmtId="0" fontId="25" fillId="25" borderId="1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0" fillId="35" borderId="4" xfId="0" applyFill="1" applyBorder="1"/>
    <xf numFmtId="171" fontId="32" fillId="34" borderId="3" xfId="0" applyNumberFormat="1" applyFont="1" applyFill="1" applyBorder="1" applyAlignment="1">
      <alignment horizontal="right" vertical="center"/>
    </xf>
    <xf numFmtId="171" fontId="29" fillId="33" borderId="3" xfId="0" applyNumberFormat="1" applyFont="1" applyFill="1" applyBorder="1" applyAlignment="1">
      <alignment horizontal="right" vertical="center"/>
    </xf>
    <xf numFmtId="171" fontId="30" fillId="34" borderId="3" xfId="0" applyNumberFormat="1" applyFont="1" applyFill="1" applyBorder="1" applyAlignment="1">
      <alignment horizontal="right" vertical="center"/>
    </xf>
    <xf numFmtId="0" fontId="0" fillId="35" borderId="0" xfId="0" applyFill="1"/>
    <xf numFmtId="171" fontId="30" fillId="33" borderId="3" xfId="0" applyNumberFormat="1" applyFont="1" applyFill="1" applyBorder="1" applyAlignment="1">
      <alignment horizontal="right" vertical="center"/>
    </xf>
    <xf numFmtId="0" fontId="25" fillId="22" borderId="5" xfId="0" applyFont="1" applyFill="1" applyBorder="1" applyAlignment="1">
      <alignment horizontal="center" vertical="center" wrapText="1"/>
    </xf>
    <xf numFmtId="171" fontId="32" fillId="34" borderId="5" xfId="0" applyNumberFormat="1" applyFont="1" applyFill="1" applyBorder="1" applyAlignment="1">
      <alignment horizontal="right" vertical="center"/>
    </xf>
    <xf numFmtId="171" fontId="29" fillId="33" borderId="5" xfId="0" applyNumberFormat="1" applyFont="1" applyFill="1" applyBorder="1" applyAlignment="1">
      <alignment horizontal="right" vertical="center"/>
    </xf>
    <xf numFmtId="171" fontId="30" fillId="34" borderId="5" xfId="0" applyNumberFormat="1" applyFont="1" applyFill="1" applyBorder="1" applyAlignment="1">
      <alignment horizontal="right" vertical="center"/>
    </xf>
    <xf numFmtId="171" fontId="30" fillId="33" borderId="5" xfId="0" applyNumberFormat="1" applyFont="1" applyFill="1" applyBorder="1" applyAlignment="1">
      <alignment horizontal="right" vertical="center"/>
    </xf>
    <xf numFmtId="0" fontId="0" fillId="0" borderId="14" xfId="0" applyBorder="1"/>
    <xf numFmtId="0" fontId="4" fillId="4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left" vertical="center" wrapText="1"/>
    </xf>
    <xf numFmtId="164" fontId="5" fillId="6" borderId="14" xfId="0" applyNumberFormat="1" applyFont="1" applyFill="1" applyBorder="1" applyAlignment="1">
      <alignment horizontal="left" vertical="center" wrapText="1"/>
    </xf>
    <xf numFmtId="0" fontId="5" fillId="6" borderId="14" xfId="0" applyFont="1" applyFill="1" applyBorder="1" applyAlignment="1">
      <alignment horizontal="left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left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6" borderId="14" xfId="0" applyFont="1" applyFill="1" applyBorder="1"/>
    <xf numFmtId="164" fontId="7" fillId="6" borderId="14" xfId="0" applyNumberFormat="1" applyFont="1" applyFill="1" applyBorder="1"/>
    <xf numFmtId="0" fontId="7" fillId="4" borderId="14" xfId="0" applyFont="1" applyFill="1" applyBorder="1" applyAlignment="1">
      <alignment horizontal="right" vertical="center"/>
    </xf>
    <xf numFmtId="166" fontId="9" fillId="8" borderId="14" xfId="0" applyNumberFormat="1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left" vertical="center" wrapText="1"/>
    </xf>
    <xf numFmtId="167" fontId="5" fillId="6" borderId="14" xfId="0" applyNumberFormat="1" applyFont="1" applyFill="1" applyBorder="1" applyAlignment="1">
      <alignment horizontal="right" vertical="center"/>
    </xf>
    <xf numFmtId="168" fontId="5" fillId="6" borderId="14" xfId="0" applyNumberFormat="1" applyFont="1" applyFill="1" applyBorder="1" applyAlignment="1">
      <alignment horizontal="right" vertical="center"/>
    </xf>
    <xf numFmtId="167" fontId="4" fillId="5" borderId="14" xfId="0" applyNumberFormat="1" applyFont="1" applyFill="1" applyBorder="1" applyAlignment="1">
      <alignment horizontal="right" vertical="center"/>
    </xf>
    <xf numFmtId="168" fontId="4" fillId="5" borderId="14" xfId="0" applyNumberFormat="1" applyFont="1" applyFill="1" applyBorder="1" applyAlignment="1">
      <alignment horizontal="right" vertical="center"/>
    </xf>
    <xf numFmtId="0" fontId="11" fillId="7" borderId="14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left" vertical="center" wrapText="1"/>
    </xf>
    <xf numFmtId="167" fontId="4" fillId="7" borderId="14" xfId="0" applyNumberFormat="1" applyFont="1" applyFill="1" applyBorder="1" applyAlignment="1">
      <alignment horizontal="right" vertical="center"/>
    </xf>
    <xf numFmtId="168" fontId="4" fillId="7" borderId="14" xfId="0" applyNumberFormat="1" applyFont="1" applyFill="1" applyBorder="1" applyAlignment="1">
      <alignment horizontal="right" vertical="center"/>
    </xf>
    <xf numFmtId="169" fontId="20" fillId="31" borderId="14" xfId="0" applyNumberFormat="1" applyFont="1" applyFill="1" applyBorder="1" applyAlignment="1">
      <alignment horizontal="right" vertical="center"/>
    </xf>
    <xf numFmtId="169" fontId="20" fillId="19" borderId="14" xfId="0" applyNumberFormat="1" applyFont="1" applyFill="1" applyBorder="1" applyAlignment="1">
      <alignment horizontal="right" vertical="center"/>
    </xf>
    <xf numFmtId="0" fontId="4" fillId="6" borderId="14" xfId="0" applyFont="1" applyFill="1" applyBorder="1" applyAlignment="1">
      <alignment horizontal="center" vertical="center" wrapText="1"/>
    </xf>
    <xf numFmtId="168" fontId="7" fillId="6" borderId="14" xfId="0" applyNumberFormat="1" applyFont="1" applyFill="1" applyBorder="1" applyAlignment="1">
      <alignment horizontal="right" vertical="center"/>
    </xf>
    <xf numFmtId="167" fontId="7" fillId="6" borderId="14" xfId="0" applyNumberFormat="1" applyFont="1" applyFill="1" applyBorder="1" applyAlignment="1">
      <alignment horizontal="right" vertical="center"/>
    </xf>
    <xf numFmtId="165" fontId="5" fillId="6" borderId="14" xfId="0" applyNumberFormat="1" applyFont="1" applyFill="1" applyBorder="1" applyAlignment="1">
      <alignment horizontal="right" vertical="center"/>
    </xf>
    <xf numFmtId="165" fontId="4" fillId="5" borderId="14" xfId="0" applyNumberFormat="1" applyFont="1" applyFill="1" applyBorder="1" applyAlignment="1">
      <alignment horizontal="right" vertical="center"/>
    </xf>
    <xf numFmtId="165" fontId="4" fillId="7" borderId="14" xfId="0" applyNumberFormat="1" applyFont="1" applyFill="1" applyBorder="1" applyAlignment="1">
      <alignment horizontal="right" vertical="center"/>
    </xf>
    <xf numFmtId="164" fontId="11" fillId="10" borderId="14" xfId="0" applyNumberFormat="1" applyFont="1" applyFill="1" applyBorder="1" applyAlignment="1">
      <alignment horizontal="right" vertical="center"/>
    </xf>
    <xf numFmtId="0" fontId="7" fillId="6" borderId="14" xfId="0" applyFont="1" applyFill="1" applyBorder="1" applyAlignment="1">
      <alignment horizontal="right" vertical="center"/>
    </xf>
    <xf numFmtId="165" fontId="7" fillId="6" borderId="14" xfId="0" applyNumberFormat="1" applyFont="1" applyFill="1" applyBorder="1" applyAlignment="1">
      <alignment horizontal="right" vertical="center"/>
    </xf>
    <xf numFmtId="164" fontId="5" fillId="6" borderId="14" xfId="0" applyNumberFormat="1" applyFont="1" applyFill="1" applyBorder="1" applyAlignment="1">
      <alignment horizontal="right" vertical="center"/>
    </xf>
    <xf numFmtId="164" fontId="4" fillId="5" borderId="14" xfId="0" applyNumberFormat="1" applyFont="1" applyFill="1" applyBorder="1" applyAlignment="1">
      <alignment horizontal="right" vertical="center"/>
    </xf>
    <xf numFmtId="164" fontId="4" fillId="7" borderId="14" xfId="0" applyNumberFormat="1" applyFont="1" applyFill="1" applyBorder="1" applyAlignment="1">
      <alignment horizontal="right" vertical="center"/>
    </xf>
    <xf numFmtId="164" fontId="7" fillId="6" borderId="14" xfId="0" applyNumberFormat="1" applyFont="1" applyFill="1" applyBorder="1" applyAlignment="1">
      <alignment horizontal="right" vertical="center"/>
    </xf>
    <xf numFmtId="166" fontId="4" fillId="7" borderId="14" xfId="0" applyNumberFormat="1" applyFont="1" applyFill="1" applyBorder="1" applyAlignment="1">
      <alignment horizontal="right" vertical="center"/>
    </xf>
    <xf numFmtId="166" fontId="4" fillId="5" borderId="14" xfId="0" applyNumberFormat="1" applyFont="1" applyFill="1" applyBorder="1" applyAlignment="1">
      <alignment horizontal="right" vertical="center"/>
    </xf>
    <xf numFmtId="0" fontId="6" fillId="11" borderId="14" xfId="0" applyFont="1" applyFill="1" applyBorder="1" applyAlignment="1">
      <alignment horizontal="center" vertical="center" wrapText="1"/>
    </xf>
    <xf numFmtId="0" fontId="6" fillId="12" borderId="14" xfId="0" applyFont="1" applyFill="1" applyBorder="1" applyAlignment="1">
      <alignment horizontal="center" vertical="center" wrapText="1"/>
    </xf>
    <xf numFmtId="170" fontId="4" fillId="5" borderId="14" xfId="0" applyNumberFormat="1" applyFont="1" applyFill="1" applyBorder="1" applyAlignment="1">
      <alignment horizontal="right" vertical="center"/>
    </xf>
    <xf numFmtId="166" fontId="7" fillId="5" borderId="14" xfId="0" applyNumberFormat="1" applyFont="1" applyFill="1" applyBorder="1" applyAlignment="1">
      <alignment horizontal="right" vertical="center"/>
    </xf>
    <xf numFmtId="170" fontId="4" fillId="7" borderId="14" xfId="0" applyNumberFormat="1" applyFont="1" applyFill="1" applyBorder="1" applyAlignment="1">
      <alignment horizontal="right" vertical="center"/>
    </xf>
    <xf numFmtId="166" fontId="7" fillId="7" borderId="14" xfId="0" applyNumberFormat="1" applyFont="1" applyFill="1" applyBorder="1" applyAlignment="1">
      <alignment horizontal="right" vertical="center"/>
    </xf>
    <xf numFmtId="0" fontId="5" fillId="5" borderId="14" xfId="0" applyFont="1" applyFill="1" applyBorder="1" applyAlignment="1">
      <alignment horizontal="center" vertical="center" wrapText="1"/>
    </xf>
    <xf numFmtId="164" fontId="11" fillId="5" borderId="14" xfId="0" applyNumberFormat="1" applyFont="1" applyFill="1" applyBorder="1" applyAlignment="1">
      <alignment horizontal="right" vertical="center"/>
    </xf>
    <xf numFmtId="164" fontId="11" fillId="13" borderId="14" xfId="0" applyNumberFormat="1" applyFont="1" applyFill="1" applyBorder="1" applyAlignment="1">
      <alignment horizontal="right" vertical="center"/>
    </xf>
    <xf numFmtId="164" fontId="11" fillId="14" borderId="14" xfId="0" applyNumberFormat="1" applyFont="1" applyFill="1" applyBorder="1" applyAlignment="1">
      <alignment horizontal="right" vertical="center"/>
    </xf>
    <xf numFmtId="164" fontId="4" fillId="14" borderId="14" xfId="0" applyNumberFormat="1" applyFont="1" applyFill="1" applyBorder="1" applyAlignment="1">
      <alignment horizontal="right" vertical="center"/>
    </xf>
    <xf numFmtId="0" fontId="5" fillId="7" borderId="14" xfId="0" applyFont="1" applyFill="1" applyBorder="1" applyAlignment="1">
      <alignment horizontal="center" vertical="center" wrapText="1"/>
    </xf>
    <xf numFmtId="164" fontId="11" fillId="7" borderId="14" xfId="0" applyNumberFormat="1" applyFont="1" applyFill="1" applyBorder="1" applyAlignment="1">
      <alignment horizontal="right" vertical="center"/>
    </xf>
    <xf numFmtId="164" fontId="6" fillId="2" borderId="14" xfId="0" applyNumberFormat="1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15" borderId="14" xfId="0" applyFont="1" applyFill="1" applyBorder="1" applyAlignment="1">
      <alignment horizontal="center" vertical="center" wrapText="1"/>
    </xf>
    <xf numFmtId="0" fontId="6" fillId="16" borderId="14" xfId="0" applyFont="1" applyFill="1" applyBorder="1" applyAlignment="1">
      <alignment horizontal="center" vertical="center" wrapText="1"/>
    </xf>
    <xf numFmtId="0" fontId="6" fillId="17" borderId="14" xfId="0" applyFont="1" applyFill="1" applyBorder="1" applyAlignment="1">
      <alignment horizontal="center" vertical="center" wrapText="1"/>
    </xf>
    <xf numFmtId="170" fontId="14" fillId="6" borderId="1" xfId="0" applyNumberFormat="1" applyFont="1" applyFill="1" applyBorder="1" applyAlignment="1">
      <alignment horizontal="center" vertical="center" wrapText="1"/>
    </xf>
    <xf numFmtId="170" fontId="7" fillId="6" borderId="14" xfId="0" applyNumberFormat="1" applyFont="1" applyFill="1" applyBorder="1" applyAlignment="1">
      <alignment horizontal="right" vertical="center"/>
    </xf>
    <xf numFmtId="170" fontId="11" fillId="5" borderId="14" xfId="0" applyNumberFormat="1" applyFont="1" applyFill="1" applyBorder="1" applyAlignment="1">
      <alignment horizontal="right" vertical="center"/>
    </xf>
    <xf numFmtId="170" fontId="11" fillId="7" borderId="14" xfId="0" applyNumberFormat="1" applyFont="1" applyFill="1" applyBorder="1" applyAlignment="1">
      <alignment horizontal="right" vertical="center"/>
    </xf>
    <xf numFmtId="170" fontId="21" fillId="18" borderId="0" xfId="0" applyNumberFormat="1" applyFont="1" applyFill="1"/>
    <xf numFmtId="170" fontId="0" fillId="0" borderId="0" xfId="0" applyNumberFormat="1"/>
    <xf numFmtId="170" fontId="11" fillId="13" borderId="14" xfId="0" applyNumberFormat="1" applyFont="1" applyFill="1" applyBorder="1" applyAlignment="1">
      <alignment horizontal="right" vertical="center"/>
    </xf>
    <xf numFmtId="170" fontId="6" fillId="2" borderId="14" xfId="0" applyNumberFormat="1" applyFont="1" applyFill="1" applyBorder="1" applyAlignment="1">
      <alignment horizontal="center" vertical="center" wrapText="1"/>
    </xf>
    <xf numFmtId="170" fontId="0" fillId="18" borderId="0" xfId="0" applyNumberFormat="1" applyFill="1"/>
    <xf numFmtId="0" fontId="15" fillId="13" borderId="14" xfId="0" applyFont="1" applyFill="1" applyBorder="1" applyAlignment="1">
      <alignment horizontal="left" vertical="center" wrapText="1"/>
    </xf>
    <xf numFmtId="0" fontId="0" fillId="0" borderId="4" xfId="0" applyBorder="1"/>
    <xf numFmtId="0" fontId="18" fillId="14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17" fillId="14" borderId="14" xfId="0" applyFont="1" applyFill="1" applyBorder="1" applyAlignment="1">
      <alignment horizontal="left" vertical="center" wrapText="1"/>
    </xf>
    <xf numFmtId="170" fontId="18" fillId="14" borderId="1" xfId="0" applyNumberFormat="1" applyFont="1" applyFill="1" applyBorder="1" applyAlignment="1">
      <alignment horizontal="center" vertical="center" wrapText="1"/>
    </xf>
    <xf numFmtId="170" fontId="0" fillId="0" borderId="9" xfId="0" applyNumberFormat="1" applyBorder="1"/>
    <xf numFmtId="0" fontId="8" fillId="2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16" fillId="13" borderId="14" xfId="0" applyNumberFormat="1" applyFont="1" applyFill="1" applyBorder="1" applyAlignment="1">
      <alignment horizontal="center" vertical="center" wrapText="1"/>
    </xf>
    <xf numFmtId="170" fontId="0" fillId="0" borderId="8" xfId="0" applyNumberFormat="1" applyBorder="1"/>
    <xf numFmtId="164" fontId="18" fillId="14" borderId="14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70" fontId="16" fillId="13" borderId="14" xfId="0" applyNumberFormat="1" applyFont="1" applyFill="1" applyBorder="1" applyAlignment="1">
      <alignment horizontal="center" vertical="center" wrapText="1"/>
    </xf>
    <xf numFmtId="170" fontId="0" fillId="0" borderId="4" xfId="0" applyNumberFormat="1" applyBorder="1"/>
    <xf numFmtId="0" fontId="26" fillId="30" borderId="14" xfId="0" applyFont="1" applyFill="1" applyBorder="1" applyAlignment="1">
      <alignment horizontal="center" vertical="center" wrapText="1"/>
    </xf>
    <xf numFmtId="0" fontId="0" fillId="0" borderId="0" xfId="0"/>
    <xf numFmtId="0" fontId="25" fillId="30" borderId="14" xfId="0" applyFont="1" applyFill="1" applyBorder="1" applyAlignment="1">
      <alignment horizontal="center" vertical="center" wrapText="1"/>
    </xf>
    <xf numFmtId="0" fontId="26" fillId="26" borderId="14" xfId="0" applyFont="1" applyFill="1" applyBorder="1" applyAlignment="1">
      <alignment horizontal="center" vertical="center" wrapText="1"/>
    </xf>
    <xf numFmtId="172" fontId="31" fillId="33" borderId="14" xfId="0" applyNumberFormat="1" applyFont="1" applyFill="1" applyBorder="1" applyAlignment="1">
      <alignment horizontal="center" vertical="center" wrapText="1"/>
    </xf>
    <xf numFmtId="0" fontId="31" fillId="33" borderId="14" xfId="0" applyFont="1" applyFill="1" applyBorder="1" applyAlignment="1">
      <alignment horizontal="left" vertical="center" wrapText="1"/>
    </xf>
    <xf numFmtId="0" fontId="27" fillId="29" borderId="4" xfId="0" applyFont="1" applyFill="1" applyBorder="1" applyAlignment="1">
      <alignment horizontal="center" vertical="center" wrapText="1"/>
    </xf>
    <xf numFmtId="0" fontId="31" fillId="33" borderId="14" xfId="0" applyFont="1" applyFill="1" applyBorder="1" applyAlignment="1">
      <alignment horizontal="center" vertical="center" wrapText="1"/>
    </xf>
    <xf numFmtId="0" fontId="27" fillId="22" borderId="14" xfId="0" applyFont="1" applyFill="1" applyBorder="1" applyAlignment="1">
      <alignment horizontal="center" vertical="center" wrapText="1"/>
    </xf>
    <xf numFmtId="0" fontId="0" fillId="0" borderId="14" xfId="0" applyBorder="1"/>
    <xf numFmtId="0" fontId="28" fillId="23" borderId="14" xfId="0" applyFont="1" applyFill="1" applyBorder="1" applyAlignment="1">
      <alignment horizontal="left" vertical="center" wrapText="1"/>
    </xf>
    <xf numFmtId="0" fontId="27" fillId="24" borderId="4" xfId="0" applyFont="1" applyFill="1" applyBorder="1" applyAlignment="1">
      <alignment horizontal="center" vertical="center" wrapText="1"/>
    </xf>
    <xf numFmtId="0" fontId="25" fillId="22" borderId="14" xfId="0" applyFont="1" applyFill="1" applyBorder="1" applyAlignment="1">
      <alignment horizontal="center" vertical="center" wrapText="1"/>
    </xf>
    <xf numFmtId="0" fontId="25" fillId="21" borderId="14" xfId="0" applyFont="1" applyFill="1" applyBorder="1" applyAlignment="1">
      <alignment horizontal="center" vertical="center" wrapText="1"/>
    </xf>
    <xf numFmtId="0" fontId="27" fillId="27" borderId="4" xfId="0" applyFont="1" applyFill="1" applyBorder="1" applyAlignment="1">
      <alignment horizontal="center" vertical="center" wrapText="1"/>
    </xf>
    <xf numFmtId="0" fontId="26" fillId="28" borderId="14" xfId="0" applyFont="1" applyFill="1" applyBorder="1" applyAlignment="1">
      <alignment horizontal="center" vertical="center" wrapText="1"/>
    </xf>
    <xf numFmtId="0" fontId="27" fillId="22" borderId="4" xfId="0" applyFont="1" applyFill="1" applyBorder="1" applyAlignment="1">
      <alignment horizontal="center" vertical="center" wrapText="1"/>
    </xf>
    <xf numFmtId="0" fontId="25" fillId="24" borderId="14" xfId="0" applyFont="1" applyFill="1" applyBorder="1" applyAlignment="1">
      <alignment horizontal="center" vertical="center" wrapText="1"/>
    </xf>
    <xf numFmtId="0" fontId="25" fillId="28" borderId="14" xfId="0" applyFont="1" applyFill="1" applyBorder="1" applyAlignment="1">
      <alignment horizontal="center" vertical="center" wrapText="1"/>
    </xf>
    <xf numFmtId="0" fontId="28" fillId="31" borderId="14" xfId="0" applyFont="1" applyFill="1" applyBorder="1" applyAlignment="1">
      <alignment horizontal="left" vertical="center" wrapText="1"/>
    </xf>
    <xf numFmtId="0" fontId="26" fillId="24" borderId="14" xfId="0" applyFont="1" applyFill="1" applyBorder="1" applyAlignment="1">
      <alignment horizontal="center" vertical="center" wrapText="1"/>
    </xf>
    <xf numFmtId="0" fontId="27" fillId="21" borderId="4" xfId="0" applyFont="1" applyFill="1" applyBorder="1" applyAlignment="1">
      <alignment horizontal="center" vertical="center" wrapText="1"/>
    </xf>
    <xf numFmtId="0" fontId="22" fillId="21" borderId="14" xfId="0" applyFont="1" applyFill="1" applyBorder="1" applyAlignment="1">
      <alignment horizontal="center" vertical="center" wrapText="1"/>
    </xf>
    <xf numFmtId="0" fontId="0" fillId="0" borderId="5" xfId="0" applyBorder="1"/>
    <xf numFmtId="0" fontId="25" fillId="26" borderId="14" xfId="0" applyFont="1" applyFill="1" applyBorder="1" applyAlignment="1">
      <alignment horizontal="center" vertical="center" wrapText="1"/>
    </xf>
    <xf numFmtId="0" fontId="25" fillId="29" borderId="14" xfId="0" applyFont="1" applyFill="1" applyBorder="1" applyAlignment="1">
      <alignment horizontal="center" vertical="center" wrapText="1"/>
    </xf>
    <xf numFmtId="0" fontId="28" fillId="23" borderId="5" xfId="0" applyFont="1" applyFill="1" applyBorder="1" applyAlignment="1">
      <alignment horizontal="left" vertical="center" wrapText="1"/>
    </xf>
    <xf numFmtId="0" fontId="26" fillId="21" borderId="14" xfId="0" applyFont="1" applyFill="1" applyBorder="1" applyAlignment="1">
      <alignment horizontal="center" vertical="center" wrapText="1"/>
    </xf>
    <xf numFmtId="0" fontId="23" fillId="22" borderId="14" xfId="0" applyFont="1" applyFill="1" applyBorder="1" applyAlignment="1">
      <alignment horizontal="left" vertical="center" wrapText="1"/>
    </xf>
    <xf numFmtId="0" fontId="26" fillId="27" borderId="14" xfId="0" applyFont="1" applyFill="1" applyBorder="1" applyAlignment="1">
      <alignment horizontal="center" vertical="center" wrapText="1"/>
    </xf>
    <xf numFmtId="0" fontId="24" fillId="23" borderId="14" xfId="0" applyFont="1" applyFill="1" applyBorder="1" applyAlignment="1">
      <alignment horizontal="left" vertical="center" wrapText="1"/>
    </xf>
    <xf numFmtId="0" fontId="27" fillId="25" borderId="4" xfId="0" applyFont="1" applyFill="1" applyBorder="1" applyAlignment="1">
      <alignment horizontal="center" vertical="center" wrapText="1"/>
    </xf>
    <xf numFmtId="0" fontId="28" fillId="23" borderId="3" xfId="0" applyFont="1" applyFill="1" applyBorder="1" applyAlignment="1">
      <alignment horizontal="left" vertical="center" wrapText="1"/>
    </xf>
    <xf numFmtId="0" fontId="26" fillId="22" borderId="14" xfId="0" applyFont="1" applyFill="1" applyBorder="1" applyAlignment="1">
      <alignment horizontal="center" vertical="center" wrapText="1"/>
    </xf>
    <xf numFmtId="0" fontId="27" fillId="28" borderId="4" xfId="0" applyFont="1" applyFill="1" applyBorder="1" applyAlignment="1">
      <alignment horizontal="center" vertical="center" wrapText="1"/>
    </xf>
    <xf numFmtId="0" fontId="27" fillId="21" borderId="14" xfId="0" applyFont="1" applyFill="1" applyBorder="1" applyAlignment="1">
      <alignment horizontal="center" vertical="center" wrapText="1"/>
    </xf>
    <xf numFmtId="0" fontId="25" fillId="27" borderId="14" xfId="0" applyFont="1" applyFill="1" applyBorder="1" applyAlignment="1">
      <alignment horizontal="center" vertical="center" wrapText="1"/>
    </xf>
    <xf numFmtId="0" fontId="26" fillId="25" borderId="14" xfId="0" applyFont="1" applyFill="1" applyBorder="1" applyAlignment="1">
      <alignment horizontal="center" vertical="center" wrapText="1"/>
    </xf>
    <xf numFmtId="0" fontId="25" fillId="25" borderId="14" xfId="0" applyFont="1" applyFill="1" applyBorder="1" applyAlignment="1">
      <alignment horizontal="center" vertical="center" wrapText="1"/>
    </xf>
    <xf numFmtId="0" fontId="27" fillId="26" borderId="4" xfId="0" applyFont="1" applyFill="1" applyBorder="1" applyAlignment="1">
      <alignment horizontal="center" vertical="center" wrapText="1"/>
    </xf>
    <xf numFmtId="0" fontId="27" fillId="29" borderId="14" xfId="0" applyFont="1" applyFill="1" applyBorder="1" applyAlignment="1">
      <alignment horizontal="center" vertical="center" wrapText="1"/>
    </xf>
    <xf numFmtId="0" fontId="0" fillId="0" borderId="13" xfId="0" applyBorder="1"/>
    <xf numFmtId="0" fontId="33" fillId="21" borderId="14" xfId="0" applyFont="1" applyFill="1" applyBorder="1" applyAlignment="1">
      <alignment horizontal="center" vertical="center" wrapText="1"/>
    </xf>
    <xf numFmtId="0" fontId="26" fillId="29" borderId="14" xfId="0" applyFont="1" applyFill="1" applyBorder="1" applyAlignment="1">
      <alignment horizontal="center" vertical="center" wrapText="1"/>
    </xf>
    <xf numFmtId="0" fontId="25" fillId="21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0" borderId="12" xfId="0" applyBorder="1"/>
    <xf numFmtId="0" fontId="6" fillId="2" borderId="14" xfId="0" applyFont="1" applyFill="1" applyBorder="1" applyAlignment="1">
      <alignment horizontal="center" vertical="center" wrapText="1"/>
    </xf>
    <xf numFmtId="0" fontId="0" fillId="0" borderId="3" xfId="0" applyBorder="1"/>
    <xf numFmtId="0" fontId="11" fillId="7" borderId="14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5" fillId="6" borderId="1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 wrapText="1"/>
    </xf>
    <xf numFmtId="44" fontId="13" fillId="5" borderId="6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6" fillId="3" borderId="6" xfId="0" applyFont="1" applyFill="1" applyBorder="1" applyAlignment="1">
      <alignment horizontal="center" vertical="center" wrapText="1"/>
    </xf>
    <xf numFmtId="166" fontId="13" fillId="5" borderId="6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70" fontId="21" fillId="18" borderId="10" xfId="0" applyNumberFormat="1" applyFont="1" applyFill="1" applyBorder="1" applyAlignment="1">
      <alignment horizontal="center"/>
    </xf>
    <xf numFmtId="170" fontId="0" fillId="0" borderId="10" xfId="0" applyNumberFormat="1" applyBorder="1"/>
    <xf numFmtId="0" fontId="1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8C"/>
      <rgbColor rgb="FFB3B3B3"/>
      <rgbColor rgb="FF808080"/>
      <rgbColor rgb="FF9999FF"/>
      <rgbColor rgb="FF7030A0"/>
      <rgbColor rgb="FFFFF2CC"/>
      <rgbColor rgb="FFF2F2F2"/>
      <rgbColor rgb="FF660066"/>
      <rgbColor rgb="FFFF8080"/>
      <rgbColor rgb="FF2E5F8A"/>
      <rgbColor rgb="FFBDD7EE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00CCFF"/>
      <rgbColor rgb="FFD9D9D9"/>
      <rgbColor rgb="FFE2EFDA"/>
      <rgbColor rgb="FFFFFF99"/>
      <rgbColor rgb="FF9DC3E6"/>
      <rgbColor rgb="FFFF99CC"/>
      <rgbColor rgb="FFCC99FF"/>
      <rgbColor rgb="FFFFE0E0"/>
      <rgbColor rgb="FF3366FF"/>
      <rgbColor rgb="FF33CCCC"/>
      <rgbColor rgb="FF99CC00"/>
      <rgbColor rgb="FFFFC000"/>
      <rgbColor rgb="FFFF9900"/>
      <rgbColor rgb="FFE26B0A"/>
      <rgbColor rgb="FF595959"/>
      <rgbColor rgb="FF969696"/>
      <rgbColor rgb="FF1F3864"/>
      <rgbColor rgb="FF2E8B5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CLIN 1005 — Project Management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CLIN Charts'!$B$2</c:f>
              <c:strCache>
                <c:ptCount val="1"/>
                <c:pt idx="0">
                  <c:v>Cum Actuals (WAWF)</c:v>
                </c:pt>
              </c:strCache>
            </c:strRef>
          </c:tx>
          <c:spPr>
            <a:ln w="28080">
              <a:solidFill>
                <a:srgbClr val="1F386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Charts'!$A$3:$A$14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Charts'!$B$3:$B$14</c:f>
              <c:numCache>
                <c:formatCode>\$#,##0;"($"#,##0\);\-</c:formatCode>
                <c:ptCount val="12"/>
                <c:pt idx="0">
                  <c:v>45545.440000000002</c:v>
                </c:pt>
                <c:pt idx="1">
                  <c:v>45545.440000000002</c:v>
                </c:pt>
                <c:pt idx="2">
                  <c:v>45545.440000000002</c:v>
                </c:pt>
                <c:pt idx="3">
                  <c:v>45545.440000000002</c:v>
                </c:pt>
                <c:pt idx="4">
                  <c:v>45545.440000000002</c:v>
                </c:pt>
                <c:pt idx="5">
                  <c:v>45545.440000000002</c:v>
                </c:pt>
                <c:pt idx="6">
                  <c:v>45545.440000000002</c:v>
                </c:pt>
                <c:pt idx="7">
                  <c:v>45545.440000000002</c:v>
                </c:pt>
                <c:pt idx="8">
                  <c:v>45545.440000000002</c:v>
                </c:pt>
                <c:pt idx="9">
                  <c:v>45545.440000000002</c:v>
                </c:pt>
                <c:pt idx="10">
                  <c:v>45545.440000000002</c:v>
                </c:pt>
                <c:pt idx="11">
                  <c:v>45545.440000000002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EA-CD48-99AD-DA3B5364C23E}"/>
            </c:ext>
          </c:extLst>
        </c:ser>
        <c:ser>
          <c:idx val="1"/>
          <c:order val="1"/>
          <c:tx>
            <c:strRef>
              <c:f>'📈 CLIN Charts'!$C$2</c:f>
              <c:strCache>
                <c:ptCount val="1"/>
                <c:pt idx="0">
                  <c:v>EAC: Act + Remaining Forecast</c:v>
                </c:pt>
              </c:strCache>
            </c:strRef>
          </c:tx>
          <c:spPr>
            <a:ln w="21960">
              <a:solidFill>
                <a:srgbClr val="2E8B5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Charts'!$A$3:$A$14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Charts'!$C$3:$C$14</c:f>
              <c:numCache>
                <c:formatCode>\$#,##0;"($"#,##0\);\-</c:formatCode>
                <c:ptCount val="12"/>
                <c:pt idx="0">
                  <c:v>45545.440000000002</c:v>
                </c:pt>
                <c:pt idx="1">
                  <c:v>95970.75</c:v>
                </c:pt>
                <c:pt idx="2">
                  <c:v>144769.44</c:v>
                </c:pt>
                <c:pt idx="3">
                  <c:v>195194.75</c:v>
                </c:pt>
                <c:pt idx="4">
                  <c:v>243993.44</c:v>
                </c:pt>
                <c:pt idx="5">
                  <c:v>294418.75</c:v>
                </c:pt>
                <c:pt idx="6">
                  <c:v>344844.06</c:v>
                </c:pt>
                <c:pt idx="7" formatCode="&quot;$&quot;#,##0.00">
                  <c:v>393642.75</c:v>
                </c:pt>
                <c:pt idx="8" formatCode="&quot;$&quot;#,##0.00">
                  <c:v>444068.06</c:v>
                </c:pt>
                <c:pt idx="9" formatCode="&quot;$&quot;#,##0.00">
                  <c:v>492866.75</c:v>
                </c:pt>
                <c:pt idx="10" formatCode="&quot;$&quot;#,##0.00">
                  <c:v>543292.06000000006</c:v>
                </c:pt>
                <c:pt idx="11" formatCode="&quot;$&quot;#,##0.00">
                  <c:v>593717.3600000001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EA-CD48-99AD-DA3B5364C23E}"/>
            </c:ext>
          </c:extLst>
        </c:ser>
        <c:ser>
          <c:idx val="2"/>
          <c:order val="2"/>
          <c:tx>
            <c:strRef>
              <c:f>'📈 CLIN Charts'!$D$2</c:f>
              <c:strCache>
                <c:ptCount val="1"/>
                <c:pt idx="0">
                  <c:v>Ceiling ($)</c:v>
                </c:pt>
              </c:strCache>
            </c:strRef>
          </c:tx>
          <c:spPr>
            <a:ln w="18000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Charts'!$A$3:$A$14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Charts'!$D$3:$D$14</c:f>
              <c:numCache>
                <c:formatCode>\$#,##0;"($"#,##0\);\-</c:formatCode>
                <c:ptCount val="12"/>
                <c:pt idx="0">
                  <c:v>593717.36</c:v>
                </c:pt>
                <c:pt idx="1">
                  <c:v>593717.36</c:v>
                </c:pt>
                <c:pt idx="2">
                  <c:v>593717.36</c:v>
                </c:pt>
                <c:pt idx="3">
                  <c:v>593717.36</c:v>
                </c:pt>
                <c:pt idx="4">
                  <c:v>593717.36</c:v>
                </c:pt>
                <c:pt idx="5">
                  <c:v>593717.36</c:v>
                </c:pt>
                <c:pt idx="6">
                  <c:v>593717.36</c:v>
                </c:pt>
                <c:pt idx="7" formatCode="&quot;$&quot;#,##0.00">
                  <c:v>593717.36</c:v>
                </c:pt>
                <c:pt idx="8" formatCode="&quot;$&quot;#,##0.00">
                  <c:v>593717.36</c:v>
                </c:pt>
                <c:pt idx="9" formatCode="&quot;$&quot;#,##0.00">
                  <c:v>593717.36</c:v>
                </c:pt>
                <c:pt idx="10" formatCode="&quot;$&quot;#,##0.00">
                  <c:v>593717.36</c:v>
                </c:pt>
                <c:pt idx="11" formatCode="&quot;$&quot;#,##0.00">
                  <c:v>593717.36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AEA-CD48-99AD-DA3B5364C23E}"/>
            </c:ext>
          </c:extLst>
        </c:ser>
        <c:ser>
          <c:idx val="3"/>
          <c:order val="3"/>
          <c:tx>
            <c:strRef>
              <c:f>'📈 CLIN Charts'!$E$2</c:f>
              <c:strCache>
                <c:ptCount val="1"/>
                <c:pt idx="0">
                  <c:v>Funded ($)</c:v>
                </c:pt>
              </c:strCache>
            </c:strRef>
          </c:tx>
          <c:spPr>
            <a:ln w="18000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Charts'!$A$3:$A$14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Charts'!$E$3:$E$14</c:f>
              <c:numCache>
                <c:formatCode>\$#,##0;"($"#,##0\);\-</c:formatCode>
                <c:ptCount val="12"/>
                <c:pt idx="0">
                  <c:v>432918.91000000003</c:v>
                </c:pt>
                <c:pt idx="1">
                  <c:v>432918.91000000003</c:v>
                </c:pt>
                <c:pt idx="2">
                  <c:v>432918.91000000003</c:v>
                </c:pt>
                <c:pt idx="3">
                  <c:v>432918.91000000003</c:v>
                </c:pt>
                <c:pt idx="4">
                  <c:v>432918.91000000003</c:v>
                </c:pt>
                <c:pt idx="5">
                  <c:v>432918.91000000003</c:v>
                </c:pt>
                <c:pt idx="6">
                  <c:v>432918.91000000003</c:v>
                </c:pt>
                <c:pt idx="7" formatCode="&quot;$&quot;#,##0.00">
                  <c:v>432918.91000000003</c:v>
                </c:pt>
                <c:pt idx="8" formatCode="&quot;$&quot;#,##0.00">
                  <c:v>432918.91000000003</c:v>
                </c:pt>
                <c:pt idx="9" formatCode="&quot;$&quot;#,##0.00">
                  <c:v>432918.91000000003</c:v>
                </c:pt>
                <c:pt idx="10" formatCode="&quot;$&quot;#,##0.00">
                  <c:v>432918.91000000003</c:v>
                </c:pt>
                <c:pt idx="11" formatCode="&quot;$&quot;#,##0.00">
                  <c:v>432918.91000000003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AEA-CD48-99AD-DA3B5364C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7172387"/>
        <c:axId val="87348766"/>
      </c:lineChart>
      <c:catAx>
        <c:axId val="671723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Invoice 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348766"/>
        <c:crosses val="autoZero"/>
        <c:auto val="1"/>
        <c:lblAlgn val="ctr"/>
        <c:lblOffset val="100"/>
        <c:noMultiLvlLbl val="0"/>
      </c:catAx>
      <c:valAx>
        <c:axId val="873487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Amount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17238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CLIN 1006 — Software Maintenance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CLIN Charts'!$B$18</c:f>
              <c:strCache>
                <c:ptCount val="1"/>
                <c:pt idx="0">
                  <c:v>Cum Actuals (WAWF)</c:v>
                </c:pt>
              </c:strCache>
            </c:strRef>
          </c:tx>
          <c:spPr>
            <a:ln w="28080">
              <a:solidFill>
                <a:srgbClr val="1F386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Charts'!$A$19:$A$30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Charts'!$B$19:$B$30</c:f>
              <c:numCache>
                <c:formatCode>\$#,##0;"($"#,##0\);\-</c:formatCode>
                <c:ptCount val="12"/>
                <c:pt idx="0">
                  <c:v>139671.71</c:v>
                </c:pt>
                <c:pt idx="1">
                  <c:v>139671.71</c:v>
                </c:pt>
                <c:pt idx="2">
                  <c:v>139671.71</c:v>
                </c:pt>
                <c:pt idx="3">
                  <c:v>139671.71</c:v>
                </c:pt>
                <c:pt idx="4">
                  <c:v>139671.71</c:v>
                </c:pt>
                <c:pt idx="5">
                  <c:v>139671.71</c:v>
                </c:pt>
                <c:pt idx="6">
                  <c:v>139671.71</c:v>
                </c:pt>
                <c:pt idx="7">
                  <c:v>139671.71</c:v>
                </c:pt>
                <c:pt idx="8">
                  <c:v>139671.71</c:v>
                </c:pt>
                <c:pt idx="9">
                  <c:v>139671.71</c:v>
                </c:pt>
                <c:pt idx="10">
                  <c:v>139671.71</c:v>
                </c:pt>
                <c:pt idx="11">
                  <c:v>139671.71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F5-3C40-8CAA-E31EBD71DFFC}"/>
            </c:ext>
          </c:extLst>
        </c:ser>
        <c:ser>
          <c:idx val="1"/>
          <c:order val="1"/>
          <c:tx>
            <c:strRef>
              <c:f>'📈 CLIN Charts'!$C$18</c:f>
              <c:strCache>
                <c:ptCount val="1"/>
                <c:pt idx="0">
                  <c:v>EAC: Act + Remaining Forecast</c:v>
                </c:pt>
              </c:strCache>
            </c:strRef>
          </c:tx>
          <c:spPr>
            <a:ln w="21960">
              <a:solidFill>
                <a:srgbClr val="2E8B5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Charts'!$A$19:$A$30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Charts'!$C$19:$C$30</c:f>
              <c:numCache>
                <c:formatCode>"$"#,##0.00</c:formatCode>
                <c:ptCount val="12"/>
                <c:pt idx="0">
                  <c:v>139671.71</c:v>
                </c:pt>
                <c:pt idx="1">
                  <c:v>225938.8052</c:v>
                </c:pt>
                <c:pt idx="2">
                  <c:v>323474.59880000004</c:v>
                </c:pt>
                <c:pt idx="3">
                  <c:v>425103.05240000004</c:v>
                </c:pt>
                <c:pt idx="4" formatCode="\$#,##0;&quot;($&quot;#,##0\);\-">
                  <c:v>532123.98920000007</c:v>
                </c:pt>
                <c:pt idx="5" formatCode="\$#,##0;&quot;($&quot;#,##0\);\-">
                  <c:v>631706.38280000002</c:v>
                </c:pt>
                <c:pt idx="6" formatCode="\$#,##0;&quot;($&quot;#,##0\);\-">
                  <c:v>733985.01800000004</c:v>
                </c:pt>
                <c:pt idx="7" formatCode="\$#,##0;&quot;($&quot;#,##0\);\-">
                  <c:v>823629.81320000009</c:v>
                </c:pt>
                <c:pt idx="8" formatCode="\$#,##0;&quot;($&quot;#,##0\);\-">
                  <c:v>887330.26520000014</c:v>
                </c:pt>
                <c:pt idx="9" formatCode="\$#,##0;&quot;($&quot;#,##0\);\-">
                  <c:v>956159.68040000019</c:v>
                </c:pt>
                <c:pt idx="10" formatCode="\$#,##0;&quot;($&quot;#,##0\);\-">
                  <c:v>1019860.1324000002</c:v>
                </c:pt>
                <c:pt idx="11" formatCode="\$#,##0;&quot;($&quot;#,##0\);\-">
                  <c:v>1075177.0196000002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9F5-3C40-8CAA-E31EBD71DFFC}"/>
            </c:ext>
          </c:extLst>
        </c:ser>
        <c:ser>
          <c:idx val="2"/>
          <c:order val="2"/>
          <c:tx>
            <c:strRef>
              <c:f>'📈 CLIN Charts'!$D$18</c:f>
              <c:strCache>
                <c:ptCount val="1"/>
                <c:pt idx="0">
                  <c:v>Ceiling ($)</c:v>
                </c:pt>
              </c:strCache>
            </c:strRef>
          </c:tx>
          <c:spPr>
            <a:ln w="18000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Charts'!$A$19:$A$30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Charts'!$D$19:$D$30</c:f>
              <c:numCache>
                <c:formatCode>"$"#,##0.00</c:formatCode>
                <c:ptCount val="12"/>
                <c:pt idx="0">
                  <c:v>727970.79</c:v>
                </c:pt>
                <c:pt idx="1">
                  <c:v>727970.79</c:v>
                </c:pt>
                <c:pt idx="2">
                  <c:v>727970.79</c:v>
                </c:pt>
                <c:pt idx="3">
                  <c:v>727970.79</c:v>
                </c:pt>
                <c:pt idx="4" formatCode="\$#,##0;&quot;($&quot;#,##0\);\-">
                  <c:v>727970.79</c:v>
                </c:pt>
                <c:pt idx="5" formatCode="\$#,##0;&quot;($&quot;#,##0\);\-">
                  <c:v>727970.79</c:v>
                </c:pt>
                <c:pt idx="6" formatCode="\$#,##0;&quot;($&quot;#,##0\);\-">
                  <c:v>727970.79</c:v>
                </c:pt>
                <c:pt idx="7" formatCode="\$#,##0;&quot;($&quot;#,##0\);\-">
                  <c:v>727970.79</c:v>
                </c:pt>
                <c:pt idx="8" formatCode="\$#,##0;&quot;($&quot;#,##0\);\-">
                  <c:v>727970.79</c:v>
                </c:pt>
                <c:pt idx="9" formatCode="\$#,##0;&quot;($&quot;#,##0\);\-">
                  <c:v>727970.79</c:v>
                </c:pt>
                <c:pt idx="10" formatCode="\$#,##0;&quot;($&quot;#,##0\);\-">
                  <c:v>727970.79</c:v>
                </c:pt>
                <c:pt idx="11" formatCode="\$#,##0;&quot;($&quot;#,##0\);\-">
                  <c:v>727970.79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9F5-3C40-8CAA-E31EBD71DFFC}"/>
            </c:ext>
          </c:extLst>
        </c:ser>
        <c:ser>
          <c:idx val="3"/>
          <c:order val="3"/>
          <c:tx>
            <c:strRef>
              <c:f>'📈 CLIN Charts'!$E$18</c:f>
              <c:strCache>
                <c:ptCount val="1"/>
                <c:pt idx="0">
                  <c:v>Funded ($)</c:v>
                </c:pt>
              </c:strCache>
            </c:strRef>
          </c:tx>
          <c:spPr>
            <a:ln w="18000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Charts'!$A$19:$A$30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Charts'!$E$19:$E$30</c:f>
              <c:numCache>
                <c:formatCode>"$"#,##0.00</c:formatCode>
                <c:ptCount val="12"/>
                <c:pt idx="0">
                  <c:v>561144.15</c:v>
                </c:pt>
                <c:pt idx="1">
                  <c:v>561144.15</c:v>
                </c:pt>
                <c:pt idx="2">
                  <c:v>561144.15</c:v>
                </c:pt>
                <c:pt idx="3">
                  <c:v>561144.15</c:v>
                </c:pt>
                <c:pt idx="4" formatCode="\$#,##0;&quot;($&quot;#,##0\);\-">
                  <c:v>561144.15</c:v>
                </c:pt>
                <c:pt idx="5" formatCode="\$#,##0;&quot;($&quot;#,##0\);\-">
                  <c:v>561144.15</c:v>
                </c:pt>
                <c:pt idx="6" formatCode="\$#,##0;&quot;($&quot;#,##0\);\-">
                  <c:v>561144.15</c:v>
                </c:pt>
                <c:pt idx="7" formatCode="\$#,##0;&quot;($&quot;#,##0\);\-">
                  <c:v>561144.15</c:v>
                </c:pt>
                <c:pt idx="8" formatCode="\$#,##0;&quot;($&quot;#,##0\);\-">
                  <c:v>561144.15</c:v>
                </c:pt>
                <c:pt idx="9" formatCode="\$#,##0;&quot;($&quot;#,##0\);\-">
                  <c:v>561144.15</c:v>
                </c:pt>
                <c:pt idx="10" formatCode="\$#,##0;&quot;($&quot;#,##0\);\-">
                  <c:v>561144.15</c:v>
                </c:pt>
                <c:pt idx="11" formatCode="\$#,##0;&quot;($&quot;#,##0\);\-">
                  <c:v>561144.15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9F5-3C40-8CAA-E31EBD71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16676462"/>
        <c:axId val="6887298"/>
      </c:lineChart>
      <c:catAx>
        <c:axId val="166764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Invoice 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87298"/>
        <c:crosses val="autoZero"/>
        <c:auto val="1"/>
        <c:lblAlgn val="ctr"/>
        <c:lblOffset val="100"/>
        <c:noMultiLvlLbl val="0"/>
      </c:catAx>
      <c:valAx>
        <c:axId val="68872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Amount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67646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CLIN 1007 — Software Development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CLIN Charts'!$B$34</c:f>
              <c:strCache>
                <c:ptCount val="1"/>
                <c:pt idx="0">
                  <c:v>Cum Actuals (WAWF)</c:v>
                </c:pt>
              </c:strCache>
            </c:strRef>
          </c:tx>
          <c:spPr>
            <a:ln w="28080">
              <a:solidFill>
                <a:srgbClr val="1F386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Charts'!$A$35:$A$46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Charts'!$B$35:$B$46</c:f>
              <c:numCache>
                <c:formatCode>\$#,##0;"($"#,##0\);\-</c:formatCode>
                <c:ptCount val="12"/>
                <c:pt idx="0">
                  <c:v>90434.31</c:v>
                </c:pt>
                <c:pt idx="1">
                  <c:v>90434.31</c:v>
                </c:pt>
                <c:pt idx="2">
                  <c:v>90434.31</c:v>
                </c:pt>
                <c:pt idx="3">
                  <c:v>90434.31</c:v>
                </c:pt>
                <c:pt idx="4">
                  <c:v>90434.31</c:v>
                </c:pt>
                <c:pt idx="5">
                  <c:v>90434.31</c:v>
                </c:pt>
                <c:pt idx="6">
                  <c:v>90434.31</c:v>
                </c:pt>
                <c:pt idx="7">
                  <c:v>90434.31</c:v>
                </c:pt>
                <c:pt idx="8">
                  <c:v>90434.31</c:v>
                </c:pt>
                <c:pt idx="9">
                  <c:v>90434.31</c:v>
                </c:pt>
                <c:pt idx="10">
                  <c:v>90434.31</c:v>
                </c:pt>
                <c:pt idx="11">
                  <c:v>90434.31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E9-FF45-974B-E572AEBEA0F5}"/>
            </c:ext>
          </c:extLst>
        </c:ser>
        <c:ser>
          <c:idx val="1"/>
          <c:order val="1"/>
          <c:tx>
            <c:strRef>
              <c:f>'📈 CLIN Charts'!$C$34</c:f>
              <c:strCache>
                <c:ptCount val="1"/>
                <c:pt idx="0">
                  <c:v>EAC: Act + Remaining Forecast</c:v>
                </c:pt>
              </c:strCache>
            </c:strRef>
          </c:tx>
          <c:spPr>
            <a:ln w="21960">
              <a:solidFill>
                <a:srgbClr val="2E8B5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Charts'!$A$35:$A$46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Charts'!$C$35:$C$46</c:f>
              <c:numCache>
                <c:formatCode>\$#,##0;"($"#,##0\);\-</c:formatCode>
                <c:ptCount val="12"/>
                <c:pt idx="0">
                  <c:v>90434.31</c:v>
                </c:pt>
                <c:pt idx="1">
                  <c:v>176701.40519999998</c:v>
                </c:pt>
                <c:pt idx="2">
                  <c:v>274237.19880000001</c:v>
                </c:pt>
                <c:pt idx="3">
                  <c:v>375865.65240000002</c:v>
                </c:pt>
                <c:pt idx="4">
                  <c:v>482886.58920000005</c:v>
                </c:pt>
                <c:pt idx="5">
                  <c:v>582468.9828</c:v>
                </c:pt>
                <c:pt idx="6">
                  <c:v>684747.61800000002</c:v>
                </c:pt>
                <c:pt idx="7">
                  <c:v>774392.41320000007</c:v>
                </c:pt>
                <c:pt idx="8">
                  <c:v>838092.86520000012</c:v>
                </c:pt>
                <c:pt idx="9">
                  <c:v>906922.28040000016</c:v>
                </c:pt>
                <c:pt idx="10">
                  <c:v>970622.73240000021</c:v>
                </c:pt>
                <c:pt idx="11">
                  <c:v>1025939.6196000002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BE9-FF45-974B-E572AEBEA0F5}"/>
            </c:ext>
          </c:extLst>
        </c:ser>
        <c:ser>
          <c:idx val="2"/>
          <c:order val="2"/>
          <c:tx>
            <c:strRef>
              <c:f>'📈 CLIN Charts'!$D$34</c:f>
              <c:strCache>
                <c:ptCount val="1"/>
                <c:pt idx="0">
                  <c:v>Ceiling ($)</c:v>
                </c:pt>
              </c:strCache>
            </c:strRef>
          </c:tx>
          <c:spPr>
            <a:ln w="18000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Charts'!$A$35:$A$46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Charts'!$D$35:$D$46</c:f>
              <c:numCache>
                <c:formatCode>\$#,##0;"($"#,##0\);\-</c:formatCode>
                <c:ptCount val="12"/>
                <c:pt idx="0">
                  <c:v>869923.61</c:v>
                </c:pt>
                <c:pt idx="1">
                  <c:v>869923.61</c:v>
                </c:pt>
                <c:pt idx="2">
                  <c:v>869923.61</c:v>
                </c:pt>
                <c:pt idx="3">
                  <c:v>869923.61</c:v>
                </c:pt>
                <c:pt idx="4">
                  <c:v>869923.61</c:v>
                </c:pt>
                <c:pt idx="5">
                  <c:v>869923.61</c:v>
                </c:pt>
                <c:pt idx="6">
                  <c:v>869923.61</c:v>
                </c:pt>
                <c:pt idx="7">
                  <c:v>869923.61</c:v>
                </c:pt>
                <c:pt idx="8">
                  <c:v>869923.61</c:v>
                </c:pt>
                <c:pt idx="9">
                  <c:v>869923.61</c:v>
                </c:pt>
                <c:pt idx="10">
                  <c:v>869923.61</c:v>
                </c:pt>
                <c:pt idx="11">
                  <c:v>869923.61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BE9-FF45-974B-E572AEBEA0F5}"/>
            </c:ext>
          </c:extLst>
        </c:ser>
        <c:ser>
          <c:idx val="3"/>
          <c:order val="3"/>
          <c:tx>
            <c:strRef>
              <c:f>'📈 CLIN Charts'!$E$34</c:f>
              <c:strCache>
                <c:ptCount val="1"/>
                <c:pt idx="0">
                  <c:v>Funded ($)</c:v>
                </c:pt>
              </c:strCache>
            </c:strRef>
          </c:tx>
          <c:spPr>
            <a:ln w="18000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Charts'!$A$35:$A$46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Charts'!$E$35:$E$46</c:f>
              <c:numCache>
                <c:formatCode>\$#,##0;"($"#,##0\);\-</c:formatCode>
                <c:ptCount val="12"/>
                <c:pt idx="0">
                  <c:v>670566.12</c:v>
                </c:pt>
                <c:pt idx="1">
                  <c:v>670566.12</c:v>
                </c:pt>
                <c:pt idx="2">
                  <c:v>670566.12</c:v>
                </c:pt>
                <c:pt idx="3">
                  <c:v>670566.12</c:v>
                </c:pt>
                <c:pt idx="4">
                  <c:v>670566.12</c:v>
                </c:pt>
                <c:pt idx="5">
                  <c:v>670566.12</c:v>
                </c:pt>
                <c:pt idx="6">
                  <c:v>670566.12</c:v>
                </c:pt>
                <c:pt idx="7">
                  <c:v>670566.12</c:v>
                </c:pt>
                <c:pt idx="8">
                  <c:v>670566.12</c:v>
                </c:pt>
                <c:pt idx="9">
                  <c:v>670566.12</c:v>
                </c:pt>
                <c:pt idx="10">
                  <c:v>670566.12</c:v>
                </c:pt>
                <c:pt idx="11">
                  <c:v>670566.12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BE9-FF45-974B-E572AEBEA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7656751"/>
        <c:axId val="96346869"/>
      </c:lineChart>
      <c:catAx>
        <c:axId val="776567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Invoice 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346869"/>
        <c:crosses val="autoZero"/>
        <c:auto val="1"/>
        <c:lblAlgn val="ctr"/>
        <c:lblOffset val="100"/>
        <c:noMultiLvlLbl val="0"/>
      </c:catAx>
      <c:valAx>
        <c:axId val="963468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Amount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65675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CLIN 1008 — O&amp;M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CLIN Charts'!$B$50</c:f>
              <c:strCache>
                <c:ptCount val="1"/>
                <c:pt idx="0">
                  <c:v>Cum Actuals (WAWF)</c:v>
                </c:pt>
              </c:strCache>
            </c:strRef>
          </c:tx>
          <c:spPr>
            <a:ln w="28080">
              <a:solidFill>
                <a:srgbClr val="1F386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Charts'!$A$51:$A$62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Charts'!$B$51:$B$62</c:f>
              <c:numCache>
                <c:formatCode>\$#,##0;"($"#,##0\);\-</c:formatCode>
                <c:ptCount val="12"/>
                <c:pt idx="0">
                  <c:v>18521.330000000002</c:v>
                </c:pt>
                <c:pt idx="1">
                  <c:v>18521.330000000002</c:v>
                </c:pt>
                <c:pt idx="2">
                  <c:v>18521.330000000002</c:v>
                </c:pt>
                <c:pt idx="3">
                  <c:v>18521.330000000002</c:v>
                </c:pt>
                <c:pt idx="4">
                  <c:v>18521.330000000002</c:v>
                </c:pt>
                <c:pt idx="5">
                  <c:v>18521.330000000002</c:v>
                </c:pt>
                <c:pt idx="6">
                  <c:v>18521.330000000002</c:v>
                </c:pt>
                <c:pt idx="7">
                  <c:v>18521.330000000002</c:v>
                </c:pt>
                <c:pt idx="8">
                  <c:v>18521.330000000002</c:v>
                </c:pt>
                <c:pt idx="9">
                  <c:v>18521.330000000002</c:v>
                </c:pt>
                <c:pt idx="10">
                  <c:v>18521.330000000002</c:v>
                </c:pt>
                <c:pt idx="11">
                  <c:v>18521.330000000002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FF3-4145-BD23-2AADA34E06FA}"/>
            </c:ext>
          </c:extLst>
        </c:ser>
        <c:ser>
          <c:idx val="1"/>
          <c:order val="1"/>
          <c:tx>
            <c:strRef>
              <c:f>'📈 CLIN Charts'!$C$50</c:f>
              <c:strCache>
                <c:ptCount val="1"/>
                <c:pt idx="0">
                  <c:v>EAC: Act + Remaining Forecast</c:v>
                </c:pt>
              </c:strCache>
            </c:strRef>
          </c:tx>
          <c:spPr>
            <a:ln w="21960">
              <a:solidFill>
                <a:srgbClr val="2E8B5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Charts'!$A$51:$A$62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Charts'!$C$51:$C$62</c:f>
              <c:numCache>
                <c:formatCode>\$#,##0;"($"#,##0\);\-</c:formatCode>
                <c:ptCount val="12"/>
                <c:pt idx="0">
                  <c:v>18521.330000000002</c:v>
                </c:pt>
                <c:pt idx="1">
                  <c:v>74423.858000000007</c:v>
                </c:pt>
                <c:pt idx="2">
                  <c:v>110250.0932</c:v>
                </c:pt>
                <c:pt idx="3">
                  <c:v>133512.51560000001</c:v>
                </c:pt>
                <c:pt idx="4">
                  <c:v>158990.40680000003</c:v>
                </c:pt>
                <c:pt idx="5">
                  <c:v>182252.82920000004</c:v>
                </c:pt>
                <c:pt idx="6">
                  <c:v>206622.98600000003</c:v>
                </c:pt>
                <c:pt idx="7">
                  <c:v>230993.14280000003</c:v>
                </c:pt>
                <c:pt idx="8">
                  <c:v>253147.83080000003</c:v>
                </c:pt>
                <c:pt idx="9">
                  <c:v>277517.98760000005</c:v>
                </c:pt>
                <c:pt idx="10">
                  <c:v>299672.67560000008</c:v>
                </c:pt>
                <c:pt idx="11">
                  <c:v>318504.16040000005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FF3-4145-BD23-2AADA34E06FA}"/>
            </c:ext>
          </c:extLst>
        </c:ser>
        <c:ser>
          <c:idx val="2"/>
          <c:order val="2"/>
          <c:tx>
            <c:strRef>
              <c:f>'📈 CLIN Charts'!$D$50</c:f>
              <c:strCache>
                <c:ptCount val="1"/>
                <c:pt idx="0">
                  <c:v>Ceiling ($)</c:v>
                </c:pt>
              </c:strCache>
            </c:strRef>
          </c:tx>
          <c:spPr>
            <a:ln w="18000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Charts'!$A$51:$A$62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Charts'!$D$51:$D$62</c:f>
              <c:numCache>
                <c:formatCode>\$#,##0;"($"#,##0\);\-</c:formatCode>
                <c:ptCount val="12"/>
                <c:pt idx="0">
                  <c:v>688014.82</c:v>
                </c:pt>
                <c:pt idx="1">
                  <c:v>688014.82</c:v>
                </c:pt>
                <c:pt idx="2">
                  <c:v>688014.82</c:v>
                </c:pt>
                <c:pt idx="3">
                  <c:v>688014.82</c:v>
                </c:pt>
                <c:pt idx="4">
                  <c:v>688014.82</c:v>
                </c:pt>
                <c:pt idx="5">
                  <c:v>688014.82</c:v>
                </c:pt>
                <c:pt idx="6">
                  <c:v>688014.82</c:v>
                </c:pt>
                <c:pt idx="7">
                  <c:v>688014.82</c:v>
                </c:pt>
                <c:pt idx="8">
                  <c:v>688014.82</c:v>
                </c:pt>
                <c:pt idx="9">
                  <c:v>688014.82</c:v>
                </c:pt>
                <c:pt idx="10">
                  <c:v>688014.82</c:v>
                </c:pt>
                <c:pt idx="11">
                  <c:v>688014.82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FF3-4145-BD23-2AADA34E06FA}"/>
            </c:ext>
          </c:extLst>
        </c:ser>
        <c:ser>
          <c:idx val="3"/>
          <c:order val="3"/>
          <c:tx>
            <c:strRef>
              <c:f>'📈 CLIN Charts'!$E$50</c:f>
              <c:strCache>
                <c:ptCount val="1"/>
                <c:pt idx="0">
                  <c:v>Funded ($)</c:v>
                </c:pt>
              </c:strCache>
            </c:strRef>
          </c:tx>
          <c:spPr>
            <a:ln w="18000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Charts'!$A$51:$A$62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Charts'!$E$51:$E$62</c:f>
              <c:numCache>
                <c:formatCode>\$#,##0;"($"#,##0\);\-</c:formatCode>
                <c:ptCount val="12"/>
                <c:pt idx="0">
                  <c:v>501677.47000000003</c:v>
                </c:pt>
                <c:pt idx="1">
                  <c:v>501677.47000000003</c:v>
                </c:pt>
                <c:pt idx="2">
                  <c:v>501677.47000000003</c:v>
                </c:pt>
                <c:pt idx="3">
                  <c:v>501677.47000000003</c:v>
                </c:pt>
                <c:pt idx="4">
                  <c:v>501677.47000000003</c:v>
                </c:pt>
                <c:pt idx="5">
                  <c:v>501677.47000000003</c:v>
                </c:pt>
                <c:pt idx="6">
                  <c:v>501677.47000000003</c:v>
                </c:pt>
                <c:pt idx="7">
                  <c:v>501677.47000000003</c:v>
                </c:pt>
                <c:pt idx="8">
                  <c:v>501677.47000000003</c:v>
                </c:pt>
                <c:pt idx="9">
                  <c:v>501677.47000000003</c:v>
                </c:pt>
                <c:pt idx="10">
                  <c:v>501677.47000000003</c:v>
                </c:pt>
                <c:pt idx="11">
                  <c:v>501677.47000000003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FF3-4145-BD23-2AADA34E0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370799"/>
        <c:axId val="76454205"/>
      </c:lineChart>
      <c:catAx>
        <c:axId val="43707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Invoice 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454205"/>
        <c:crosses val="autoZero"/>
        <c:auto val="1"/>
        <c:lblAlgn val="ctr"/>
        <c:lblOffset val="100"/>
        <c:noMultiLvlLbl val="0"/>
      </c:catAx>
      <c:valAx>
        <c:axId val="764542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Amount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7079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CLIN 1009 — Tier 3 Helpdesk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CLIN Charts'!$B$66</c:f>
              <c:strCache>
                <c:ptCount val="1"/>
                <c:pt idx="0">
                  <c:v>Cum Actuals (WAWF)</c:v>
                </c:pt>
              </c:strCache>
            </c:strRef>
          </c:tx>
          <c:spPr>
            <a:ln w="28080">
              <a:solidFill>
                <a:srgbClr val="1F386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Charts'!$A$67:$A$78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Charts'!$B$67:$B$78</c:f>
              <c:numCache>
                <c:formatCode>\$#,##0;"($"#,##0\);\-</c:formatCode>
                <c:ptCount val="12"/>
                <c:pt idx="0">
                  <c:v>2590.77</c:v>
                </c:pt>
                <c:pt idx="1">
                  <c:v>2590.77</c:v>
                </c:pt>
                <c:pt idx="2">
                  <c:v>2590.77</c:v>
                </c:pt>
                <c:pt idx="3">
                  <c:v>2590.77</c:v>
                </c:pt>
                <c:pt idx="4">
                  <c:v>2590.77</c:v>
                </c:pt>
                <c:pt idx="5">
                  <c:v>2590.77</c:v>
                </c:pt>
                <c:pt idx="6">
                  <c:v>2590.77</c:v>
                </c:pt>
                <c:pt idx="7">
                  <c:v>2590.77</c:v>
                </c:pt>
                <c:pt idx="8">
                  <c:v>2590.77</c:v>
                </c:pt>
                <c:pt idx="9">
                  <c:v>2590.77</c:v>
                </c:pt>
                <c:pt idx="10">
                  <c:v>2590.77</c:v>
                </c:pt>
                <c:pt idx="11">
                  <c:v>2590.77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07-394C-9065-BDEB5E2E7D07}"/>
            </c:ext>
          </c:extLst>
        </c:ser>
        <c:ser>
          <c:idx val="1"/>
          <c:order val="1"/>
          <c:tx>
            <c:strRef>
              <c:f>'📈 CLIN Charts'!$C$66</c:f>
              <c:strCache>
                <c:ptCount val="1"/>
                <c:pt idx="0">
                  <c:v>EAC: Act + Remaining Forecast</c:v>
                </c:pt>
              </c:strCache>
            </c:strRef>
          </c:tx>
          <c:spPr>
            <a:ln w="21960">
              <a:solidFill>
                <a:srgbClr val="2E8B5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Charts'!$A$67:$A$78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Charts'!$C$67:$C$78</c:f>
              <c:numCache>
                <c:formatCode>\$#,##0;"($"#,##0\);\-</c:formatCode>
                <c:ptCount val="12"/>
                <c:pt idx="0">
                  <c:v>2590.77</c:v>
                </c:pt>
                <c:pt idx="1">
                  <c:v>5459.12</c:v>
                </c:pt>
                <c:pt idx="2">
                  <c:v>8234.94</c:v>
                </c:pt>
                <c:pt idx="3">
                  <c:v>11103.29</c:v>
                </c:pt>
                <c:pt idx="4">
                  <c:v>13879.11</c:v>
                </c:pt>
                <c:pt idx="5">
                  <c:v>16747.46</c:v>
                </c:pt>
                <c:pt idx="6">
                  <c:v>19615.809999999998</c:v>
                </c:pt>
                <c:pt idx="7">
                  <c:v>22391.629999999997</c:v>
                </c:pt>
                <c:pt idx="8">
                  <c:v>25259.979999999996</c:v>
                </c:pt>
                <c:pt idx="9">
                  <c:v>28035.799999999996</c:v>
                </c:pt>
                <c:pt idx="10">
                  <c:v>30904.149999999994</c:v>
                </c:pt>
                <c:pt idx="11">
                  <c:v>33772.499999999993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B07-394C-9065-BDEB5E2E7D07}"/>
            </c:ext>
          </c:extLst>
        </c:ser>
        <c:ser>
          <c:idx val="2"/>
          <c:order val="2"/>
          <c:tx>
            <c:strRef>
              <c:f>'📈 CLIN Charts'!$D$66</c:f>
              <c:strCache>
                <c:ptCount val="1"/>
                <c:pt idx="0">
                  <c:v>Ceiling ($)</c:v>
                </c:pt>
              </c:strCache>
            </c:strRef>
          </c:tx>
          <c:spPr>
            <a:ln w="18000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Charts'!$A$67:$A$78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Charts'!$D$67:$D$78</c:f>
              <c:numCache>
                <c:formatCode>\$#,##0;"($"#,##0\);\-</c:formatCode>
                <c:ptCount val="12"/>
                <c:pt idx="0">
                  <c:v>33772.5</c:v>
                </c:pt>
                <c:pt idx="1">
                  <c:v>33772.5</c:v>
                </c:pt>
                <c:pt idx="2">
                  <c:v>33772.5</c:v>
                </c:pt>
                <c:pt idx="3">
                  <c:v>33772.5</c:v>
                </c:pt>
                <c:pt idx="4">
                  <c:v>33772.5</c:v>
                </c:pt>
                <c:pt idx="5">
                  <c:v>33772.5</c:v>
                </c:pt>
                <c:pt idx="6">
                  <c:v>33772.5</c:v>
                </c:pt>
                <c:pt idx="7">
                  <c:v>33772.5</c:v>
                </c:pt>
                <c:pt idx="8">
                  <c:v>33772.5</c:v>
                </c:pt>
                <c:pt idx="9">
                  <c:v>33772.5</c:v>
                </c:pt>
                <c:pt idx="10">
                  <c:v>33772.5</c:v>
                </c:pt>
                <c:pt idx="11">
                  <c:v>33772.5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B07-394C-9065-BDEB5E2E7D07}"/>
            </c:ext>
          </c:extLst>
        </c:ser>
        <c:ser>
          <c:idx val="3"/>
          <c:order val="3"/>
          <c:tx>
            <c:strRef>
              <c:f>'📈 CLIN Charts'!$E$66</c:f>
              <c:strCache>
                <c:ptCount val="1"/>
                <c:pt idx="0">
                  <c:v>Funded ($)</c:v>
                </c:pt>
              </c:strCache>
            </c:strRef>
          </c:tx>
          <c:spPr>
            <a:ln w="18000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Charts'!$A$67:$A$78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Charts'!$E$67:$E$78</c:f>
              <c:numCache>
                <c:formatCode>\$#,##0;"($"#,##0\);\-</c:formatCode>
                <c:ptCount val="12"/>
                <c:pt idx="0">
                  <c:v>24625.78</c:v>
                </c:pt>
                <c:pt idx="1">
                  <c:v>24625.78</c:v>
                </c:pt>
                <c:pt idx="2">
                  <c:v>24625.78</c:v>
                </c:pt>
                <c:pt idx="3">
                  <c:v>24625.78</c:v>
                </c:pt>
                <c:pt idx="4">
                  <c:v>24625.78</c:v>
                </c:pt>
                <c:pt idx="5">
                  <c:v>24625.78</c:v>
                </c:pt>
                <c:pt idx="6">
                  <c:v>24625.78</c:v>
                </c:pt>
                <c:pt idx="7">
                  <c:v>24625.78</c:v>
                </c:pt>
                <c:pt idx="8">
                  <c:v>24625.78</c:v>
                </c:pt>
                <c:pt idx="9">
                  <c:v>24625.78</c:v>
                </c:pt>
                <c:pt idx="10">
                  <c:v>24625.78</c:v>
                </c:pt>
                <c:pt idx="11">
                  <c:v>24625.78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B07-394C-9065-BDEB5E2E7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7086604"/>
        <c:axId val="30666332"/>
      </c:lineChart>
      <c:catAx>
        <c:axId val="470866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Invoice 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666332"/>
        <c:crosses val="autoZero"/>
        <c:auto val="1"/>
        <c:lblAlgn val="ctr"/>
        <c:lblOffset val="100"/>
        <c:noMultiLvlLbl val="0"/>
      </c:catAx>
      <c:valAx>
        <c:axId val="306663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Amount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08660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CLIN 1010 — Training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CLIN Charts'!$B$82</c:f>
              <c:strCache>
                <c:ptCount val="1"/>
                <c:pt idx="0">
                  <c:v>Cum Actuals (WAWF)</c:v>
                </c:pt>
              </c:strCache>
            </c:strRef>
          </c:tx>
          <c:spPr>
            <a:ln w="28080">
              <a:solidFill>
                <a:srgbClr val="1F386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Charts'!$A$83:$A$94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Charts'!$B$83:$B$94</c:f>
              <c:numCache>
                <c:formatCode>\$#,##0;"($"#,##0\);\-</c:formatCode>
                <c:ptCount val="12"/>
                <c:pt idx="0">
                  <c:v>15283.06</c:v>
                </c:pt>
                <c:pt idx="1">
                  <c:v>15283.06</c:v>
                </c:pt>
                <c:pt idx="2">
                  <c:v>15283.06</c:v>
                </c:pt>
                <c:pt idx="3">
                  <c:v>15283.06</c:v>
                </c:pt>
                <c:pt idx="4">
                  <c:v>15283.06</c:v>
                </c:pt>
                <c:pt idx="5">
                  <c:v>15283.06</c:v>
                </c:pt>
                <c:pt idx="6">
                  <c:v>15283.06</c:v>
                </c:pt>
                <c:pt idx="7">
                  <c:v>15283.06</c:v>
                </c:pt>
                <c:pt idx="8">
                  <c:v>15283.06</c:v>
                </c:pt>
                <c:pt idx="9">
                  <c:v>15283.06</c:v>
                </c:pt>
                <c:pt idx="10">
                  <c:v>15283.06</c:v>
                </c:pt>
                <c:pt idx="11">
                  <c:v>15283.06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C3-144B-9391-8E07FAEE4197}"/>
            </c:ext>
          </c:extLst>
        </c:ser>
        <c:ser>
          <c:idx val="1"/>
          <c:order val="1"/>
          <c:tx>
            <c:strRef>
              <c:f>'📈 CLIN Charts'!$C$82</c:f>
              <c:strCache>
                <c:ptCount val="1"/>
                <c:pt idx="0">
                  <c:v>EAC: Act + Remaining Forecast</c:v>
                </c:pt>
              </c:strCache>
            </c:strRef>
          </c:tx>
          <c:spPr>
            <a:ln w="21960">
              <a:solidFill>
                <a:srgbClr val="2E8B5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Charts'!$A$83:$A$94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Charts'!$C$83:$C$94</c:f>
              <c:numCache>
                <c:formatCode>\$#,##0;"($"#,##0\);\-</c:formatCode>
                <c:ptCount val="12"/>
                <c:pt idx="0">
                  <c:v>15283.06</c:v>
                </c:pt>
                <c:pt idx="1">
                  <c:v>32203.589999999997</c:v>
                </c:pt>
                <c:pt idx="2">
                  <c:v>48578.299999999996</c:v>
                </c:pt>
                <c:pt idx="3">
                  <c:v>65498.829999999994</c:v>
                </c:pt>
                <c:pt idx="4">
                  <c:v>81873.539999999994</c:v>
                </c:pt>
                <c:pt idx="5">
                  <c:v>98794.069999999992</c:v>
                </c:pt>
                <c:pt idx="6">
                  <c:v>115714.59999999999</c:v>
                </c:pt>
                <c:pt idx="7">
                  <c:v>132089.31</c:v>
                </c:pt>
                <c:pt idx="8">
                  <c:v>149009.84</c:v>
                </c:pt>
                <c:pt idx="9">
                  <c:v>165384.54999999999</c:v>
                </c:pt>
                <c:pt idx="10">
                  <c:v>182305.08</c:v>
                </c:pt>
                <c:pt idx="11">
                  <c:v>199225.59999999998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EC3-144B-9391-8E07FAEE4197}"/>
            </c:ext>
          </c:extLst>
        </c:ser>
        <c:ser>
          <c:idx val="2"/>
          <c:order val="2"/>
          <c:tx>
            <c:strRef>
              <c:f>'📈 CLIN Charts'!$D$82</c:f>
              <c:strCache>
                <c:ptCount val="1"/>
                <c:pt idx="0">
                  <c:v>Ceiling ($)</c:v>
                </c:pt>
              </c:strCache>
            </c:strRef>
          </c:tx>
          <c:spPr>
            <a:ln w="18000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Charts'!$A$83:$A$94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Charts'!$D$83:$D$94</c:f>
              <c:numCache>
                <c:formatCode>\$#,##0;"($"#,##0\);\-</c:formatCode>
                <c:ptCount val="12"/>
                <c:pt idx="0">
                  <c:v>199225.60000000001</c:v>
                </c:pt>
                <c:pt idx="1">
                  <c:v>199225.60000000001</c:v>
                </c:pt>
                <c:pt idx="2">
                  <c:v>199225.60000000001</c:v>
                </c:pt>
                <c:pt idx="3">
                  <c:v>199225.60000000001</c:v>
                </c:pt>
                <c:pt idx="4">
                  <c:v>199225.60000000001</c:v>
                </c:pt>
                <c:pt idx="5">
                  <c:v>199225.60000000001</c:v>
                </c:pt>
                <c:pt idx="6">
                  <c:v>199225.60000000001</c:v>
                </c:pt>
                <c:pt idx="7">
                  <c:v>199225.60000000001</c:v>
                </c:pt>
                <c:pt idx="8">
                  <c:v>199225.60000000001</c:v>
                </c:pt>
                <c:pt idx="9">
                  <c:v>199225.60000000001</c:v>
                </c:pt>
                <c:pt idx="10">
                  <c:v>199225.60000000001</c:v>
                </c:pt>
                <c:pt idx="11">
                  <c:v>199225.60000000001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EC3-144B-9391-8E07FAEE4197}"/>
            </c:ext>
          </c:extLst>
        </c:ser>
        <c:ser>
          <c:idx val="3"/>
          <c:order val="3"/>
          <c:tx>
            <c:strRef>
              <c:f>'📈 CLIN Charts'!$E$82</c:f>
              <c:strCache>
                <c:ptCount val="1"/>
                <c:pt idx="0">
                  <c:v>Funded ($)</c:v>
                </c:pt>
              </c:strCache>
            </c:strRef>
          </c:tx>
          <c:spPr>
            <a:ln w="18000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Charts'!$A$83:$A$94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Charts'!$E$83:$E$94</c:f>
              <c:numCache>
                <c:formatCode>\$#,##0;"($"#,##0\);\-</c:formatCode>
                <c:ptCount val="12"/>
                <c:pt idx="0">
                  <c:v>145268.66999999998</c:v>
                </c:pt>
                <c:pt idx="1">
                  <c:v>145268.66999999998</c:v>
                </c:pt>
                <c:pt idx="2">
                  <c:v>145268.66999999998</c:v>
                </c:pt>
                <c:pt idx="3">
                  <c:v>145268.66999999998</c:v>
                </c:pt>
                <c:pt idx="4">
                  <c:v>145268.66999999998</c:v>
                </c:pt>
                <c:pt idx="5">
                  <c:v>145268.66999999998</c:v>
                </c:pt>
                <c:pt idx="6">
                  <c:v>145268.66999999998</c:v>
                </c:pt>
                <c:pt idx="7">
                  <c:v>145268.66999999998</c:v>
                </c:pt>
                <c:pt idx="8">
                  <c:v>145268.66999999998</c:v>
                </c:pt>
                <c:pt idx="9">
                  <c:v>145268.66999999998</c:v>
                </c:pt>
                <c:pt idx="10">
                  <c:v>145268.66999999998</c:v>
                </c:pt>
                <c:pt idx="11">
                  <c:v>145268.66999999998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EC3-144B-9391-8E07FAEE4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8323060"/>
        <c:axId val="63946183"/>
      </c:lineChart>
      <c:catAx>
        <c:axId val="983230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Invoice 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946183"/>
        <c:crosses val="autoZero"/>
        <c:auto val="1"/>
        <c:lblAlgn val="ctr"/>
        <c:lblOffset val="100"/>
        <c:noMultiLvlLbl val="0"/>
      </c:catAx>
      <c:valAx>
        <c:axId val="639461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Amount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32306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CLIN 1016 — NTIA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CLIN Charts'!$B$98</c:f>
              <c:strCache>
                <c:ptCount val="1"/>
                <c:pt idx="0">
                  <c:v>Cum Actuals (WAWF)</c:v>
                </c:pt>
              </c:strCache>
            </c:strRef>
          </c:tx>
          <c:spPr>
            <a:ln w="28080">
              <a:solidFill>
                <a:srgbClr val="1F386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Charts'!$A$99:$A$110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Charts'!$B$99:$B$110</c:f>
              <c:numCache>
                <c:formatCode>\$#,##0;"($"#,##0\);\-</c:formatCode>
                <c:ptCount val="12"/>
                <c:pt idx="0">
                  <c:v>20596.189999999999</c:v>
                </c:pt>
                <c:pt idx="1">
                  <c:v>20596.189999999999</c:v>
                </c:pt>
                <c:pt idx="2">
                  <c:v>20596.189999999999</c:v>
                </c:pt>
                <c:pt idx="3">
                  <c:v>20596.189999999999</c:v>
                </c:pt>
                <c:pt idx="4">
                  <c:v>20596.189999999999</c:v>
                </c:pt>
                <c:pt idx="5">
                  <c:v>20596.189999999999</c:v>
                </c:pt>
                <c:pt idx="6">
                  <c:v>20596.189999999999</c:v>
                </c:pt>
                <c:pt idx="7">
                  <c:v>20596.189999999999</c:v>
                </c:pt>
                <c:pt idx="8">
                  <c:v>20596.189999999999</c:v>
                </c:pt>
                <c:pt idx="9">
                  <c:v>20596.189999999999</c:v>
                </c:pt>
                <c:pt idx="10">
                  <c:v>20596.189999999999</c:v>
                </c:pt>
                <c:pt idx="11">
                  <c:v>20596.189999999999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73-FC40-A2B5-F2D2D5F53566}"/>
            </c:ext>
          </c:extLst>
        </c:ser>
        <c:ser>
          <c:idx val="1"/>
          <c:order val="1"/>
          <c:tx>
            <c:strRef>
              <c:f>'📈 CLIN Charts'!$C$98</c:f>
              <c:strCache>
                <c:ptCount val="1"/>
                <c:pt idx="0">
                  <c:v>EAC: Act + Remaining Forecast</c:v>
                </c:pt>
              </c:strCache>
            </c:strRef>
          </c:tx>
          <c:spPr>
            <a:ln w="21960">
              <a:solidFill>
                <a:srgbClr val="2E8B5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Charts'!$A$99:$A$110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Charts'!$C$99:$C$110</c:f>
              <c:numCache>
                <c:formatCode>\$#,##0;"($"#,##0\);\-</c:formatCode>
                <c:ptCount val="12"/>
                <c:pt idx="0">
                  <c:v>20596.189999999999</c:v>
                </c:pt>
                <c:pt idx="1">
                  <c:v>43399.11</c:v>
                </c:pt>
                <c:pt idx="2">
                  <c:v>65466.45</c:v>
                </c:pt>
                <c:pt idx="3">
                  <c:v>88269.37</c:v>
                </c:pt>
                <c:pt idx="4">
                  <c:v>110336.70999999999</c:v>
                </c:pt>
                <c:pt idx="5">
                  <c:v>133139.63</c:v>
                </c:pt>
                <c:pt idx="6">
                  <c:v>155942.54999999999</c:v>
                </c:pt>
                <c:pt idx="7">
                  <c:v>178009.88999999998</c:v>
                </c:pt>
                <c:pt idx="8">
                  <c:v>200812.81</c:v>
                </c:pt>
                <c:pt idx="9">
                  <c:v>222880.15</c:v>
                </c:pt>
                <c:pt idx="10">
                  <c:v>245683.07</c:v>
                </c:pt>
                <c:pt idx="11">
                  <c:v>268485.99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173-FC40-A2B5-F2D2D5F53566}"/>
            </c:ext>
          </c:extLst>
        </c:ser>
        <c:ser>
          <c:idx val="2"/>
          <c:order val="2"/>
          <c:tx>
            <c:strRef>
              <c:f>'📈 CLIN Charts'!$D$98</c:f>
              <c:strCache>
                <c:ptCount val="1"/>
                <c:pt idx="0">
                  <c:v>Ceiling ($)</c:v>
                </c:pt>
              </c:strCache>
            </c:strRef>
          </c:tx>
          <c:spPr>
            <a:ln w="18000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Charts'!$A$99:$A$110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Charts'!$D$99:$D$110</c:f>
              <c:numCache>
                <c:formatCode>\$#,##0;"($"#,##0\);\-</c:formatCode>
                <c:ptCount val="12"/>
                <c:pt idx="0">
                  <c:v>268485.99</c:v>
                </c:pt>
                <c:pt idx="1">
                  <c:v>268485.99</c:v>
                </c:pt>
                <c:pt idx="2">
                  <c:v>268485.99</c:v>
                </c:pt>
                <c:pt idx="3">
                  <c:v>268485.99</c:v>
                </c:pt>
                <c:pt idx="4">
                  <c:v>268485.99</c:v>
                </c:pt>
                <c:pt idx="5">
                  <c:v>268485.99</c:v>
                </c:pt>
                <c:pt idx="6">
                  <c:v>268485.99</c:v>
                </c:pt>
                <c:pt idx="7">
                  <c:v>268485.99</c:v>
                </c:pt>
                <c:pt idx="8">
                  <c:v>268485.99</c:v>
                </c:pt>
                <c:pt idx="9">
                  <c:v>268485.99</c:v>
                </c:pt>
                <c:pt idx="10">
                  <c:v>268485.99</c:v>
                </c:pt>
                <c:pt idx="11">
                  <c:v>268485.99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173-FC40-A2B5-F2D2D5F53566}"/>
            </c:ext>
          </c:extLst>
        </c:ser>
        <c:ser>
          <c:idx val="3"/>
          <c:order val="3"/>
          <c:tx>
            <c:strRef>
              <c:f>'📈 CLIN Charts'!$E$98</c:f>
              <c:strCache>
                <c:ptCount val="1"/>
                <c:pt idx="0">
                  <c:v>Funded ($)</c:v>
                </c:pt>
              </c:strCache>
            </c:strRef>
          </c:tx>
          <c:spPr>
            <a:ln w="18000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Charts'!$A$99:$A$110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Charts'!$E$99:$E$110</c:f>
              <c:numCache>
                <c:formatCode>\$#,##0;"($"#,##0\);\-</c:formatCode>
                <c:ptCount val="12"/>
                <c:pt idx="0">
                  <c:v>268485.99</c:v>
                </c:pt>
                <c:pt idx="1">
                  <c:v>268485.99</c:v>
                </c:pt>
                <c:pt idx="2">
                  <c:v>268485.99</c:v>
                </c:pt>
                <c:pt idx="3">
                  <c:v>268485.99</c:v>
                </c:pt>
                <c:pt idx="4">
                  <c:v>268485.99</c:v>
                </c:pt>
                <c:pt idx="5">
                  <c:v>268485.99</c:v>
                </c:pt>
                <c:pt idx="6">
                  <c:v>268485.99</c:v>
                </c:pt>
                <c:pt idx="7">
                  <c:v>268485.99</c:v>
                </c:pt>
                <c:pt idx="8">
                  <c:v>268485.99</c:v>
                </c:pt>
                <c:pt idx="9">
                  <c:v>268485.99</c:v>
                </c:pt>
                <c:pt idx="10">
                  <c:v>268485.99</c:v>
                </c:pt>
                <c:pt idx="11">
                  <c:v>268485.99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173-FC40-A2B5-F2D2D5F53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7796669"/>
        <c:axId val="83810179"/>
      </c:lineChart>
      <c:catAx>
        <c:axId val="377966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Invoice 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810179"/>
        <c:crosses val="autoZero"/>
        <c:auto val="1"/>
        <c:lblAlgn val="ctr"/>
        <c:lblOffset val="100"/>
        <c:noMultiLvlLbl val="0"/>
      </c:catAx>
      <c:valAx>
        <c:axId val="838101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Amount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79666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CLIN 1017 — Other Direct Costs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CLIN Charts'!$B$114</c:f>
              <c:strCache>
                <c:ptCount val="1"/>
                <c:pt idx="0">
                  <c:v>Cum Actuals (WAWF)</c:v>
                </c:pt>
              </c:strCache>
            </c:strRef>
          </c:tx>
          <c:spPr>
            <a:ln w="28080">
              <a:solidFill>
                <a:srgbClr val="1F386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Charts'!$A$115:$A$126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Charts'!$B$115:$B$126</c:f>
              <c:numCache>
                <c:formatCode>\$#,##0;"($"#,##0\);\-</c:formatCode>
                <c:ptCount val="12"/>
                <c:pt idx="0">
                  <c:v>13845.75</c:v>
                </c:pt>
                <c:pt idx="1">
                  <c:v>13845.75</c:v>
                </c:pt>
                <c:pt idx="2">
                  <c:v>13845.75</c:v>
                </c:pt>
                <c:pt idx="3">
                  <c:v>13845.75</c:v>
                </c:pt>
                <c:pt idx="4">
                  <c:v>13845.75</c:v>
                </c:pt>
                <c:pt idx="5">
                  <c:v>13845.75</c:v>
                </c:pt>
                <c:pt idx="6">
                  <c:v>13845.75</c:v>
                </c:pt>
                <c:pt idx="7">
                  <c:v>13845.75</c:v>
                </c:pt>
                <c:pt idx="8">
                  <c:v>13845.75</c:v>
                </c:pt>
                <c:pt idx="9">
                  <c:v>13845.75</c:v>
                </c:pt>
                <c:pt idx="10">
                  <c:v>13845.75</c:v>
                </c:pt>
                <c:pt idx="11">
                  <c:v>13845.75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AB-A54E-B7C5-ABE8F6AEFD9E}"/>
            </c:ext>
          </c:extLst>
        </c:ser>
        <c:ser>
          <c:idx val="1"/>
          <c:order val="1"/>
          <c:tx>
            <c:strRef>
              <c:f>'📈 CLIN Charts'!$C$114</c:f>
              <c:strCache>
                <c:ptCount val="1"/>
                <c:pt idx="0">
                  <c:v>EAC: Act + Remaining Forecast</c:v>
                </c:pt>
              </c:strCache>
            </c:strRef>
          </c:tx>
          <c:spPr>
            <a:ln w="21960">
              <a:solidFill>
                <a:srgbClr val="2E8B5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Charts'!$A$115:$A$126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Charts'!$C$115:$C$126</c:f>
              <c:numCache>
                <c:formatCode>\$#,##0;"($"#,##0\);\-</c:formatCode>
                <c:ptCount val="12"/>
                <c:pt idx="0">
                  <c:v>13845.75</c:v>
                </c:pt>
                <c:pt idx="1">
                  <c:v>110845.75</c:v>
                </c:pt>
                <c:pt idx="2">
                  <c:v>117845.75</c:v>
                </c:pt>
                <c:pt idx="3">
                  <c:v>124845.75</c:v>
                </c:pt>
                <c:pt idx="4">
                  <c:v>131845.75</c:v>
                </c:pt>
                <c:pt idx="5">
                  <c:v>138845.75</c:v>
                </c:pt>
                <c:pt idx="6">
                  <c:v>145845.75</c:v>
                </c:pt>
                <c:pt idx="7">
                  <c:v>152845.75</c:v>
                </c:pt>
                <c:pt idx="8">
                  <c:v>159845.75</c:v>
                </c:pt>
                <c:pt idx="9">
                  <c:v>166845.75</c:v>
                </c:pt>
                <c:pt idx="10">
                  <c:v>173845.75</c:v>
                </c:pt>
                <c:pt idx="11">
                  <c:v>180845.75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2AB-A54E-B7C5-ABE8F6AEFD9E}"/>
            </c:ext>
          </c:extLst>
        </c:ser>
        <c:ser>
          <c:idx val="2"/>
          <c:order val="2"/>
          <c:tx>
            <c:strRef>
              <c:f>'📈 CLIN Charts'!$D$114</c:f>
              <c:strCache>
                <c:ptCount val="1"/>
                <c:pt idx="0">
                  <c:v>Ceiling ($)</c:v>
                </c:pt>
              </c:strCache>
            </c:strRef>
          </c:tx>
          <c:spPr>
            <a:ln w="18000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Charts'!$A$115:$A$126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Charts'!$D$115:$D$126</c:f>
              <c:numCache>
                <c:formatCode>\$#,##0;"($"#,##0\);\-</c:formatCode>
                <c:ptCount val="12"/>
                <c:pt idx="0">
                  <c:v>132000</c:v>
                </c:pt>
                <c:pt idx="1">
                  <c:v>132000</c:v>
                </c:pt>
                <c:pt idx="2">
                  <c:v>132000</c:v>
                </c:pt>
                <c:pt idx="3">
                  <c:v>132000</c:v>
                </c:pt>
                <c:pt idx="4">
                  <c:v>132000</c:v>
                </c:pt>
                <c:pt idx="5">
                  <c:v>132000</c:v>
                </c:pt>
                <c:pt idx="6">
                  <c:v>132000</c:v>
                </c:pt>
                <c:pt idx="7">
                  <c:v>132000</c:v>
                </c:pt>
                <c:pt idx="8">
                  <c:v>132000</c:v>
                </c:pt>
                <c:pt idx="9">
                  <c:v>132000</c:v>
                </c:pt>
                <c:pt idx="10">
                  <c:v>132000</c:v>
                </c:pt>
                <c:pt idx="11">
                  <c:v>132000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2AB-A54E-B7C5-ABE8F6AEFD9E}"/>
            </c:ext>
          </c:extLst>
        </c:ser>
        <c:ser>
          <c:idx val="3"/>
          <c:order val="3"/>
          <c:tx>
            <c:strRef>
              <c:f>'📈 CLIN Charts'!$E$114</c:f>
              <c:strCache>
                <c:ptCount val="1"/>
                <c:pt idx="0">
                  <c:v>Funded ($)</c:v>
                </c:pt>
              </c:strCache>
            </c:strRef>
          </c:tx>
          <c:spPr>
            <a:ln w="18000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Charts'!$A$115:$A$126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Charts'!$E$115:$E$126</c:f>
              <c:numCache>
                <c:formatCode>\$#,##0;"($"#,##0\);\-</c:formatCode>
                <c:ptCount val="12"/>
                <c:pt idx="0">
                  <c:v>60486.239999999998</c:v>
                </c:pt>
                <c:pt idx="1">
                  <c:v>60486.239999999998</c:v>
                </c:pt>
                <c:pt idx="2">
                  <c:v>60486.239999999998</c:v>
                </c:pt>
                <c:pt idx="3">
                  <c:v>60486.239999999998</c:v>
                </c:pt>
                <c:pt idx="4">
                  <c:v>60486.239999999998</c:v>
                </c:pt>
                <c:pt idx="5">
                  <c:v>60486.239999999998</c:v>
                </c:pt>
                <c:pt idx="6">
                  <c:v>60486.239999999998</c:v>
                </c:pt>
                <c:pt idx="7">
                  <c:v>60486.239999999998</c:v>
                </c:pt>
                <c:pt idx="8">
                  <c:v>60486.239999999998</c:v>
                </c:pt>
                <c:pt idx="9">
                  <c:v>60486.239999999998</c:v>
                </c:pt>
                <c:pt idx="10">
                  <c:v>60486.239999999998</c:v>
                </c:pt>
                <c:pt idx="11">
                  <c:v>60486.239999999998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2AB-A54E-B7C5-ABE8F6AEF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1271031"/>
        <c:axId val="50042891"/>
      </c:lineChart>
      <c:catAx>
        <c:axId val="912710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Invoice 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42891"/>
        <c:crosses val="autoZero"/>
        <c:auto val="1"/>
        <c:lblAlgn val="ctr"/>
        <c:lblOffset val="100"/>
        <c:noMultiLvlLbl val="0"/>
      </c:catAx>
      <c:valAx>
        <c:axId val="500428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Amount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27103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CLIN 1018 — Travel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CLIN Charts'!$B$130</c:f>
              <c:strCache>
                <c:ptCount val="1"/>
                <c:pt idx="0">
                  <c:v>Cum Actuals (WAWF)</c:v>
                </c:pt>
              </c:strCache>
            </c:strRef>
          </c:tx>
          <c:spPr>
            <a:ln w="28080">
              <a:solidFill>
                <a:srgbClr val="1F386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Charts'!$A$131:$A$142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Charts'!$B$131:$B$142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B4-AF4F-8B83-1DC8B53D4D1A}"/>
            </c:ext>
          </c:extLst>
        </c:ser>
        <c:ser>
          <c:idx val="1"/>
          <c:order val="1"/>
          <c:tx>
            <c:strRef>
              <c:f>'📈 CLIN Charts'!$C$130</c:f>
              <c:strCache>
                <c:ptCount val="1"/>
                <c:pt idx="0">
                  <c:v>EAC: Act + Remaining Forecast</c:v>
                </c:pt>
              </c:strCache>
            </c:strRef>
          </c:tx>
          <c:spPr>
            <a:ln w="21960">
              <a:solidFill>
                <a:srgbClr val="2E8B5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Charts'!$A$131:$A$142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Charts'!$C$131:$C$142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1B4-AF4F-8B83-1DC8B53D4D1A}"/>
            </c:ext>
          </c:extLst>
        </c:ser>
        <c:ser>
          <c:idx val="2"/>
          <c:order val="2"/>
          <c:tx>
            <c:strRef>
              <c:f>'📈 CLIN Charts'!$D$130</c:f>
              <c:strCache>
                <c:ptCount val="1"/>
                <c:pt idx="0">
                  <c:v>Ceiling ($)</c:v>
                </c:pt>
              </c:strCache>
            </c:strRef>
          </c:tx>
          <c:spPr>
            <a:ln w="18000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Charts'!$A$131:$A$142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Charts'!$D$131:$D$142</c:f>
              <c:numCache>
                <c:formatCode>\$#,##0;"($"#,##0\);\-</c:formatCode>
                <c:ptCount val="12"/>
                <c:pt idx="0">
                  <c:v>10144</c:v>
                </c:pt>
                <c:pt idx="1">
                  <c:v>10144</c:v>
                </c:pt>
                <c:pt idx="2">
                  <c:v>10144</c:v>
                </c:pt>
                <c:pt idx="3">
                  <c:v>10144</c:v>
                </c:pt>
                <c:pt idx="4">
                  <c:v>10144</c:v>
                </c:pt>
                <c:pt idx="5">
                  <c:v>10144</c:v>
                </c:pt>
                <c:pt idx="6">
                  <c:v>10144</c:v>
                </c:pt>
                <c:pt idx="7">
                  <c:v>10144</c:v>
                </c:pt>
                <c:pt idx="8">
                  <c:v>10144</c:v>
                </c:pt>
                <c:pt idx="9">
                  <c:v>10144</c:v>
                </c:pt>
                <c:pt idx="10">
                  <c:v>10144</c:v>
                </c:pt>
                <c:pt idx="11">
                  <c:v>10144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1B4-AF4F-8B83-1DC8B53D4D1A}"/>
            </c:ext>
          </c:extLst>
        </c:ser>
        <c:ser>
          <c:idx val="3"/>
          <c:order val="3"/>
          <c:tx>
            <c:strRef>
              <c:f>'📈 CLIN Charts'!$E$130</c:f>
              <c:strCache>
                <c:ptCount val="1"/>
                <c:pt idx="0">
                  <c:v>Funded ($)</c:v>
                </c:pt>
              </c:strCache>
            </c:strRef>
          </c:tx>
          <c:spPr>
            <a:ln w="18000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CLIN Charts'!$A$131:$A$142</c:f>
              <c:strCache>
                <c:ptCount val="12"/>
                <c:pt idx="0">
                  <c:v>Feb-Mar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'📈 CLIN Charts'!$E$131:$E$142</c:f>
              <c:numCache>
                <c:formatCode>\$#,##0;"($"#,##0\);\-</c:formatCode>
                <c:ptCount val="12"/>
                <c:pt idx="0">
                  <c:v>4999.99</c:v>
                </c:pt>
                <c:pt idx="1">
                  <c:v>4999.99</c:v>
                </c:pt>
                <c:pt idx="2">
                  <c:v>4999.99</c:v>
                </c:pt>
                <c:pt idx="3">
                  <c:v>4999.99</c:v>
                </c:pt>
                <c:pt idx="4">
                  <c:v>4999.99</c:v>
                </c:pt>
                <c:pt idx="5">
                  <c:v>4999.99</c:v>
                </c:pt>
                <c:pt idx="6">
                  <c:v>4999.99</c:v>
                </c:pt>
                <c:pt idx="7">
                  <c:v>4999.99</c:v>
                </c:pt>
                <c:pt idx="8">
                  <c:v>4999.99</c:v>
                </c:pt>
                <c:pt idx="9">
                  <c:v>4999.99</c:v>
                </c:pt>
                <c:pt idx="10">
                  <c:v>4999.99</c:v>
                </c:pt>
                <c:pt idx="11">
                  <c:v>4999.99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1B4-AF4F-8B83-1DC8B53D4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15186557"/>
        <c:axId val="49426621"/>
      </c:lineChart>
      <c:catAx>
        <c:axId val="151865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Invoice 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426621"/>
        <c:crosses val="autoZero"/>
        <c:auto val="1"/>
        <c:lblAlgn val="ctr"/>
        <c:lblOffset val="100"/>
        <c:noMultiLvlLbl val="0"/>
      </c:catAx>
      <c:valAx>
        <c:axId val="494266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Amount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18655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Actual vs Forecast (All CLINs)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Overall Chart'!$B$3</c:f>
              <c:strCache>
                <c:ptCount val="1"/>
                <c:pt idx="0">
                  <c:v>Monthly Actual ($)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Overall Chart'!$A$4:$A$15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'📊 Overall Chart'!$B$4:$B$15</c:f>
              <c:numCache>
                <c:formatCode>\$#,##0;"($"#,##0\);\-</c:formatCode>
                <c:ptCount val="12"/>
                <c:pt idx="0">
                  <c:v>346488.56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7-7F4B-B876-1281E085ECBF}"/>
            </c:ext>
          </c:extLst>
        </c:ser>
        <c:ser>
          <c:idx val="1"/>
          <c:order val="1"/>
          <c:tx>
            <c:strRef>
              <c:f>'📊 Overall Chart'!$C$3</c:f>
              <c:strCache>
                <c:ptCount val="1"/>
                <c:pt idx="0">
                  <c:v>Monthly Forecast ($)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Overall Chart'!$A$4:$A$15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'📊 Overall Chart'!$C$4:$C$15</c:f>
              <c:numCache>
                <c:formatCode>\$#,##0;"($"#,##0\);\-</c:formatCode>
                <c:ptCount val="12"/>
                <c:pt idx="0">
                  <c:v>325111.68080000009</c:v>
                </c:pt>
                <c:pt idx="1">
                  <c:v>418453.82839999994</c:v>
                </c:pt>
                <c:pt idx="2">
                  <c:v>327914.38240000006</c:v>
                </c:pt>
                <c:pt idx="3">
                  <c:v>326536.43959999998</c:v>
                </c:pt>
                <c:pt idx="4">
                  <c:v>336536.32480000006</c:v>
                </c:pt>
                <c:pt idx="5">
                  <c:v>322444.31959999999</c:v>
                </c:pt>
                <c:pt idx="6" formatCode="&quot;$&quot;#,##0.00">
                  <c:v>328944.53719999996</c:v>
                </c:pt>
                <c:pt idx="7" formatCode="&quot;$&quot;#,##0.00">
                  <c:v>300676.30720000004</c:v>
                </c:pt>
                <c:pt idx="8" formatCode="&quot;$&quot;#,##0.00">
                  <c:v>249572.70199999999</c:v>
                </c:pt>
                <c:pt idx="9" formatCode="&quot;$&quot;#,##0.00">
                  <c:v>259045.5472</c:v>
                </c:pt>
                <c:pt idx="10" formatCode="&quot;$&quot;#,##0.00">
                  <c:v>249572.70199999999</c:v>
                </c:pt>
                <c:pt idx="11" formatCode="&quot;$&quot;#,##0.00">
                  <c:v>229482.3492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7-7F4B-B876-1281E085E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41184"/>
        <c:axId val="9007966"/>
      </c:barChart>
      <c:catAx>
        <c:axId val="401411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Invoice 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07966"/>
        <c:crosses val="autoZero"/>
        <c:auto val="1"/>
        <c:lblAlgn val="ctr"/>
        <c:lblOffset val="100"/>
        <c:noMultiLvlLbl val="0"/>
      </c:catAx>
      <c:valAx>
        <c:axId val="90079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14118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Cumulative: EAC vs Ceiling &amp; Funding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'📊 Overall Chart'!$D$3</c:f>
              <c:strCache>
                <c:ptCount val="1"/>
                <c:pt idx="0">
                  <c:v>Cum Actuals (WAWF)</c:v>
                </c:pt>
              </c:strCache>
            </c:strRef>
          </c:tx>
          <c:spPr>
            <a:ln w="28080">
              <a:solidFill>
                <a:srgbClr val="1F386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Overall Chart'!$A$4:$A$15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'📊 Overall Chart'!$D$4:$D$15</c:f>
              <c:numCache>
                <c:formatCode>\$#,##0;"($"#,##0\);\-</c:formatCode>
                <c:ptCount val="12"/>
                <c:pt idx="0">
                  <c:v>346488.56</c:v>
                </c:pt>
                <c:pt idx="1">
                  <c:v>346488.56</c:v>
                </c:pt>
                <c:pt idx="2">
                  <c:v>346488.56</c:v>
                </c:pt>
                <c:pt idx="3">
                  <c:v>346488.56</c:v>
                </c:pt>
                <c:pt idx="4">
                  <c:v>346488.56</c:v>
                </c:pt>
                <c:pt idx="5">
                  <c:v>346488.56</c:v>
                </c:pt>
                <c:pt idx="6" formatCode="&quot;$&quot;#,##0.00">
                  <c:v>346488.56</c:v>
                </c:pt>
                <c:pt idx="7" formatCode="&quot;$&quot;#,##0.00">
                  <c:v>346488.56</c:v>
                </c:pt>
                <c:pt idx="8" formatCode="&quot;$&quot;#,##0.00">
                  <c:v>346488.56</c:v>
                </c:pt>
                <c:pt idx="9" formatCode="&quot;$&quot;#,##0.00">
                  <c:v>346488.56</c:v>
                </c:pt>
                <c:pt idx="10" formatCode="&quot;$&quot;#,##0.00">
                  <c:v>346488.56</c:v>
                </c:pt>
                <c:pt idx="11" formatCode="&quot;$&quot;#,##0.00">
                  <c:v>346488.56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35-DC43-A707-92046041E280}"/>
            </c:ext>
          </c:extLst>
        </c:ser>
        <c:ser>
          <c:idx val="1"/>
          <c:order val="1"/>
          <c:tx>
            <c:strRef>
              <c:f>'📊 Overall Chart'!$E$3</c:f>
              <c:strCache>
                <c:ptCount val="1"/>
                <c:pt idx="0">
                  <c:v>EAC: Act + Rem. Forecast</c:v>
                </c:pt>
              </c:strCache>
            </c:strRef>
          </c:tx>
          <c:spPr>
            <a:ln w="21960">
              <a:solidFill>
                <a:srgbClr val="2E8B5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Overall Chart'!$A$4:$A$15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'📊 Overall Chart'!$E$4:$E$15</c:f>
              <c:numCache>
                <c:formatCode>\$#,##0;"($"#,##0\);\-</c:formatCode>
                <c:ptCount val="12"/>
                <c:pt idx="0">
                  <c:v>346488.56</c:v>
                </c:pt>
                <c:pt idx="1">
                  <c:v>764942.38839999994</c:v>
                </c:pt>
                <c:pt idx="2">
                  <c:v>1092856.7708000001</c:v>
                </c:pt>
                <c:pt idx="3">
                  <c:v>1419393.2104</c:v>
                </c:pt>
                <c:pt idx="4">
                  <c:v>1755929.5352</c:v>
                </c:pt>
                <c:pt idx="5">
                  <c:v>2078373.8548000001</c:v>
                </c:pt>
                <c:pt idx="6" formatCode="&quot;$&quot;#,##0.00">
                  <c:v>2407318.392</c:v>
                </c:pt>
                <c:pt idx="7" formatCode="&quot;$&quot;#,##0.00">
                  <c:v>2707994.6992000001</c:v>
                </c:pt>
                <c:pt idx="8" formatCode="&quot;$&quot;#,##0.00">
                  <c:v>2957567.4012000002</c:v>
                </c:pt>
                <c:pt idx="9" formatCode="&quot;$&quot;#,##0.00">
                  <c:v>3216612.9484000001</c:v>
                </c:pt>
                <c:pt idx="10" formatCode="&quot;$&quot;#,##0.00">
                  <c:v>3466185.6504000002</c:v>
                </c:pt>
                <c:pt idx="11" formatCode="&quot;$&quot;#,##0.00">
                  <c:v>3695667.9996000002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35-DC43-A707-92046041E280}"/>
            </c:ext>
          </c:extLst>
        </c:ser>
        <c:ser>
          <c:idx val="2"/>
          <c:order val="2"/>
          <c:tx>
            <c:strRef>
              <c:f>'📊 Overall Chart'!$F$3</c:f>
              <c:strCache>
                <c:ptCount val="1"/>
                <c:pt idx="0">
                  <c:v>Ceiling ($)</c:v>
                </c:pt>
              </c:strCache>
            </c:strRef>
          </c:tx>
          <c:spPr>
            <a:ln w="18000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Overall Chart'!$A$4:$A$15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'📊 Overall Chart'!$F$4:$F$15</c:f>
              <c:numCache>
                <c:formatCode>\$#,##0;"($"#,##0\);\-</c:formatCode>
                <c:ptCount val="12"/>
                <c:pt idx="0">
                  <c:v>3523254.67</c:v>
                </c:pt>
                <c:pt idx="1">
                  <c:v>3523254.67</c:v>
                </c:pt>
                <c:pt idx="2">
                  <c:v>3523254.67</c:v>
                </c:pt>
                <c:pt idx="3">
                  <c:v>3523254.67</c:v>
                </c:pt>
                <c:pt idx="4">
                  <c:v>3523254.67</c:v>
                </c:pt>
                <c:pt idx="5">
                  <c:v>3523254.67</c:v>
                </c:pt>
                <c:pt idx="6" formatCode="&quot;$&quot;#,##0.00">
                  <c:v>3523254.67</c:v>
                </c:pt>
                <c:pt idx="7" formatCode="&quot;$&quot;#,##0.00">
                  <c:v>3523254.67</c:v>
                </c:pt>
                <c:pt idx="8" formatCode="&quot;$&quot;#,##0.00">
                  <c:v>3523254.67</c:v>
                </c:pt>
                <c:pt idx="9" formatCode="&quot;$&quot;#,##0.00">
                  <c:v>3523254.67</c:v>
                </c:pt>
                <c:pt idx="10" formatCode="&quot;$&quot;#,##0.00">
                  <c:v>3523254.67</c:v>
                </c:pt>
                <c:pt idx="11" formatCode="&quot;$&quot;#,##0.00">
                  <c:v>3523254.67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D35-DC43-A707-92046041E280}"/>
            </c:ext>
          </c:extLst>
        </c:ser>
        <c:ser>
          <c:idx val="3"/>
          <c:order val="3"/>
          <c:tx>
            <c:strRef>
              <c:f>'📊 Overall Chart'!$G$3</c:f>
              <c:strCache>
                <c:ptCount val="1"/>
                <c:pt idx="0">
                  <c:v>Funded ($)</c:v>
                </c:pt>
              </c:strCache>
            </c:strRef>
          </c:tx>
          <c:spPr>
            <a:ln w="18000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Overall Chart'!$A$4:$A$15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Feb-E</c:v>
                </c:pt>
              </c:strCache>
            </c:strRef>
          </c:cat>
          <c:val>
            <c:numRef>
              <c:f>'📊 Overall Chart'!$G$4:$G$15</c:f>
              <c:numCache>
                <c:formatCode>\$#,##0;"($"#,##0\);\-</c:formatCode>
                <c:ptCount val="12"/>
                <c:pt idx="0">
                  <c:v>2670173.3200000003</c:v>
                </c:pt>
                <c:pt idx="1">
                  <c:v>2670173.3200000003</c:v>
                </c:pt>
                <c:pt idx="2">
                  <c:v>2670173.3200000003</c:v>
                </c:pt>
                <c:pt idx="3">
                  <c:v>2670173.3200000003</c:v>
                </c:pt>
                <c:pt idx="4">
                  <c:v>2670173.3200000003</c:v>
                </c:pt>
                <c:pt idx="5">
                  <c:v>2670173.3200000003</c:v>
                </c:pt>
                <c:pt idx="6">
                  <c:v>2670173.3200000003</c:v>
                </c:pt>
                <c:pt idx="7">
                  <c:v>2670173.3200000003</c:v>
                </c:pt>
                <c:pt idx="8">
                  <c:v>2670173.3200000003</c:v>
                </c:pt>
                <c:pt idx="9">
                  <c:v>2670173.3200000003</c:v>
                </c:pt>
                <c:pt idx="10">
                  <c:v>2670173.3200000003</c:v>
                </c:pt>
                <c:pt idx="11">
                  <c:v>2670173.3200000003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D35-DC43-A707-92046041E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0217104"/>
        <c:axId val="21742947"/>
      </c:lineChart>
      <c:catAx>
        <c:axId val="402171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Invoice 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742947"/>
        <c:crosses val="autoZero"/>
        <c:auto val="1"/>
        <c:lblAlgn val="ctr"/>
        <c:lblOffset val="100"/>
        <c:noMultiLvlLbl val="0"/>
      </c:catAx>
      <c:valAx>
        <c:axId val="217429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Amount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21710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16</xdr:col>
      <xdr:colOff>150120</xdr:colOff>
      <xdr:row>15</xdr:row>
      <xdr:rowOff>74160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16</xdr:row>
      <xdr:rowOff>0</xdr:rowOff>
    </xdr:from>
    <xdr:to>
      <xdr:col>16</xdr:col>
      <xdr:colOff>150120</xdr:colOff>
      <xdr:row>31</xdr:row>
      <xdr:rowOff>55441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32</xdr:row>
      <xdr:rowOff>0</xdr:rowOff>
    </xdr:from>
    <xdr:to>
      <xdr:col>16</xdr:col>
      <xdr:colOff>150120</xdr:colOff>
      <xdr:row>47</xdr:row>
      <xdr:rowOff>55440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48</xdr:row>
      <xdr:rowOff>0</xdr:rowOff>
    </xdr:from>
    <xdr:to>
      <xdr:col>16</xdr:col>
      <xdr:colOff>150120</xdr:colOff>
      <xdr:row>63</xdr:row>
      <xdr:rowOff>55079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64</xdr:row>
      <xdr:rowOff>0</xdr:rowOff>
    </xdr:from>
    <xdr:to>
      <xdr:col>16</xdr:col>
      <xdr:colOff>150120</xdr:colOff>
      <xdr:row>79</xdr:row>
      <xdr:rowOff>55440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80</xdr:row>
      <xdr:rowOff>0</xdr:rowOff>
    </xdr:from>
    <xdr:to>
      <xdr:col>16</xdr:col>
      <xdr:colOff>150120</xdr:colOff>
      <xdr:row>95</xdr:row>
      <xdr:rowOff>55080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</xdr:col>
      <xdr:colOff>0</xdr:colOff>
      <xdr:row>96</xdr:row>
      <xdr:rowOff>0</xdr:rowOff>
    </xdr:from>
    <xdr:to>
      <xdr:col>16</xdr:col>
      <xdr:colOff>150120</xdr:colOff>
      <xdr:row>113</xdr:row>
      <xdr:rowOff>55441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112</xdr:row>
      <xdr:rowOff>0</xdr:rowOff>
    </xdr:from>
    <xdr:to>
      <xdr:col>16</xdr:col>
      <xdr:colOff>150120</xdr:colOff>
      <xdr:row>127</xdr:row>
      <xdr:rowOff>55079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8</xdr:col>
      <xdr:colOff>0</xdr:colOff>
      <xdr:row>128</xdr:row>
      <xdr:rowOff>0</xdr:rowOff>
    </xdr:from>
    <xdr:to>
      <xdr:col>16</xdr:col>
      <xdr:colOff>150120</xdr:colOff>
      <xdr:row>147</xdr:row>
      <xdr:rowOff>105880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20</xdr:col>
      <xdr:colOff>579435</xdr:colOff>
      <xdr:row>21</xdr:row>
      <xdr:rowOff>90360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22</xdr:row>
      <xdr:rowOff>0</xdr:rowOff>
    </xdr:from>
    <xdr:to>
      <xdr:col>20</xdr:col>
      <xdr:colOff>579435</xdr:colOff>
      <xdr:row>44</xdr:row>
      <xdr:rowOff>128160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4B4B9F-5832-4A02-9337-9B286B339A4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1e030438-c11a-4ac6-a71a-39fba3ef7f17&quot;"/>
  </we:properties>
  <we:bindings/>
  <we:snapshot xmlns:r="http://schemas.openxmlformats.org/officeDocument/2006/relationships"/>
</we:webextension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C18"/>
  <sheetViews>
    <sheetView showGridLines="0" tabSelected="1" zoomScale="170" zoomScaleNormal="170" workbookViewId="0">
      <selection activeCell="B1" sqref="B1"/>
    </sheetView>
  </sheetViews>
  <sheetFormatPr defaultColWidth="8.6328125" defaultRowHeight="14.5" x14ac:dyDescent="0.35"/>
  <cols>
    <col min="1" max="1" width="3" customWidth="1"/>
    <col min="2" max="2" width="26" customWidth="1"/>
    <col min="3" max="3" width="55" customWidth="1"/>
    <col min="4" max="4" width="20" customWidth="1"/>
  </cols>
  <sheetData>
    <row r="2" spans="2:3" ht="31.5" customHeight="1" x14ac:dyDescent="0.35">
      <c r="B2" s="186" t="s">
        <v>258</v>
      </c>
      <c r="C2" s="205"/>
    </row>
    <row r="3" spans="2:3" ht="18" customHeight="1" x14ac:dyDescent="0.35">
      <c r="B3" s="188" t="s">
        <v>259</v>
      </c>
      <c r="C3" s="188"/>
    </row>
    <row r="5" spans="2:3" ht="21.75" customHeight="1" x14ac:dyDescent="0.35">
      <c r="B5" s="203" t="s">
        <v>0</v>
      </c>
      <c r="C5" s="204"/>
    </row>
    <row r="6" spans="2:3" ht="19.5" customHeight="1" x14ac:dyDescent="0.35">
      <c r="B6" s="40" t="s">
        <v>1</v>
      </c>
      <c r="C6" s="1" t="s">
        <v>2</v>
      </c>
    </row>
    <row r="7" spans="2:3" ht="19.5" customHeight="1" x14ac:dyDescent="0.35">
      <c r="B7" s="40" t="s">
        <v>3</v>
      </c>
      <c r="C7" s="1" t="s">
        <v>4</v>
      </c>
    </row>
    <row r="8" spans="2:3" ht="19.5" customHeight="1" x14ac:dyDescent="0.35">
      <c r="B8" s="40" t="s">
        <v>5</v>
      </c>
      <c r="C8" s="1" t="s">
        <v>6</v>
      </c>
    </row>
    <row r="9" spans="2:3" ht="19.5" customHeight="1" x14ac:dyDescent="0.35">
      <c r="B9" s="40" t="s">
        <v>7</v>
      </c>
      <c r="C9" s="1" t="s">
        <v>8</v>
      </c>
    </row>
    <row r="10" spans="2:3" ht="19.5" customHeight="1" x14ac:dyDescent="0.35">
      <c r="B10" s="40" t="s">
        <v>9</v>
      </c>
      <c r="C10" s="1" t="s">
        <v>10</v>
      </c>
    </row>
    <row r="11" spans="2:3" ht="21.75" customHeight="1" x14ac:dyDescent="0.35">
      <c r="B11" s="201" t="s">
        <v>11</v>
      </c>
      <c r="C11" s="202"/>
    </row>
    <row r="12" spans="2:3" ht="19.5" customHeight="1" x14ac:dyDescent="0.35">
      <c r="B12" s="40" t="s">
        <v>12</v>
      </c>
      <c r="C12" s="1" t="s">
        <v>13</v>
      </c>
    </row>
    <row r="13" spans="2:3" ht="19.5" customHeight="1" x14ac:dyDescent="0.35">
      <c r="B13" s="40" t="s">
        <v>14</v>
      </c>
      <c r="C13" s="1" t="s">
        <v>15</v>
      </c>
    </row>
    <row r="14" spans="2:3" ht="19.5" customHeight="1" x14ac:dyDescent="0.35">
      <c r="B14" s="40" t="s">
        <v>16</v>
      </c>
      <c r="C14" s="1" t="s">
        <v>17</v>
      </c>
    </row>
    <row r="15" spans="2:3" ht="19.5" customHeight="1" x14ac:dyDescent="0.35">
      <c r="B15" s="40" t="s">
        <v>18</v>
      </c>
      <c r="C15" s="1" t="s">
        <v>19</v>
      </c>
    </row>
    <row r="16" spans="2:3" ht="19.5" customHeight="1" x14ac:dyDescent="0.35">
      <c r="B16" s="40" t="s">
        <v>20</v>
      </c>
      <c r="C16" s="1" t="s">
        <v>21</v>
      </c>
    </row>
    <row r="17" spans="2:3" ht="19.5" customHeight="1" x14ac:dyDescent="0.35">
      <c r="B17" s="40" t="s">
        <v>22</v>
      </c>
      <c r="C17" s="1" t="s">
        <v>23</v>
      </c>
    </row>
    <row r="18" spans="2:3" ht="19.5" customHeight="1" x14ac:dyDescent="0.35">
      <c r="B18" s="40" t="s">
        <v>24</v>
      </c>
      <c r="C18" s="1" t="s">
        <v>25</v>
      </c>
    </row>
  </sheetData>
  <mergeCells count="4">
    <mergeCell ref="B11:C11"/>
    <mergeCell ref="B5:C5"/>
    <mergeCell ref="B2:C2"/>
    <mergeCell ref="B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8A"/>
  </sheetPr>
  <dimension ref="B2:H24"/>
  <sheetViews>
    <sheetView showGridLines="0" zoomScaleNormal="100" workbookViewId="0">
      <selection activeCell="C12" sqref="C12"/>
    </sheetView>
  </sheetViews>
  <sheetFormatPr defaultColWidth="8.6328125" defaultRowHeight="14.5" x14ac:dyDescent="0.35"/>
  <cols>
    <col min="1" max="1" width="3" customWidth="1"/>
    <col min="2" max="2" width="12" customWidth="1"/>
    <col min="3" max="3" width="32" customWidth="1"/>
    <col min="4" max="4" width="12" customWidth="1"/>
    <col min="5" max="7" width="18" customWidth="1"/>
    <col min="8" max="8" width="22" customWidth="1"/>
  </cols>
  <sheetData>
    <row r="2" spans="2:8" ht="31.5" customHeight="1" x14ac:dyDescent="0.35">
      <c r="B2" s="26" t="s">
        <v>26</v>
      </c>
    </row>
    <row r="4" spans="2:8" ht="21.75" customHeight="1" x14ac:dyDescent="0.35">
      <c r="B4" s="2" t="s">
        <v>27</v>
      </c>
    </row>
    <row r="5" spans="2:8" ht="18" customHeight="1" x14ac:dyDescent="0.35">
      <c r="B5" s="40" t="s">
        <v>28</v>
      </c>
      <c r="C5" s="3"/>
    </row>
    <row r="6" spans="2:8" ht="18" customHeight="1" x14ac:dyDescent="0.35">
      <c r="B6" s="40" t="s">
        <v>29</v>
      </c>
      <c r="C6" s="3"/>
    </row>
    <row r="7" spans="2:8" ht="18" customHeight="1" x14ac:dyDescent="0.35">
      <c r="B7" s="40" t="s">
        <v>30</v>
      </c>
      <c r="C7" s="3"/>
    </row>
    <row r="8" spans="2:8" ht="18" customHeight="1" x14ac:dyDescent="0.35">
      <c r="B8" s="40" t="s">
        <v>31</v>
      </c>
      <c r="C8" s="3"/>
    </row>
    <row r="9" spans="2:8" ht="18" customHeight="1" x14ac:dyDescent="0.35">
      <c r="B9" s="40" t="s">
        <v>32</v>
      </c>
      <c r="C9" s="3"/>
    </row>
    <row r="10" spans="2:8" ht="18" customHeight="1" x14ac:dyDescent="0.35">
      <c r="B10" s="40" t="s">
        <v>34</v>
      </c>
      <c r="C10" s="3"/>
    </row>
    <row r="11" spans="2:8" ht="18" customHeight="1" x14ac:dyDescent="0.35">
      <c r="B11" s="40" t="s">
        <v>35</v>
      </c>
      <c r="C11" s="3"/>
    </row>
    <row r="12" spans="2:8" ht="18" customHeight="1" x14ac:dyDescent="0.35">
      <c r="B12" s="40" t="s">
        <v>36</v>
      </c>
      <c r="C12" s="3"/>
    </row>
    <row r="13" spans="2:8" ht="21.75" customHeight="1" x14ac:dyDescent="0.35">
      <c r="B13" s="2" t="s">
        <v>37</v>
      </c>
    </row>
    <row r="14" spans="2:8" ht="21.75" customHeight="1" x14ac:dyDescent="0.35">
      <c r="B14" s="41" t="s">
        <v>38</v>
      </c>
      <c r="C14" s="41" t="s">
        <v>39</v>
      </c>
      <c r="D14" s="41" t="s">
        <v>40</v>
      </c>
      <c r="E14" s="41" t="s">
        <v>41</v>
      </c>
      <c r="F14" s="41" t="s">
        <v>42</v>
      </c>
      <c r="G14" s="41" t="s">
        <v>43</v>
      </c>
      <c r="H14" s="41" t="s">
        <v>44</v>
      </c>
    </row>
    <row r="15" spans="2:8" ht="18" customHeight="1" x14ac:dyDescent="0.35">
      <c r="B15" s="42" t="s">
        <v>45</v>
      </c>
      <c r="C15" s="43" t="s">
        <v>46</v>
      </c>
      <c r="D15" s="42" t="s">
        <v>47</v>
      </c>
      <c r="E15" s="44">
        <f>'📝 Mod Tracker'!J106</f>
        <v>593717.36</v>
      </c>
      <c r="F15" s="44">
        <f>'📝 Mod Tracker'!J107</f>
        <v>432918.91000000003</v>
      </c>
      <c r="G15" s="42" t="s">
        <v>48</v>
      </c>
      <c r="H15" s="45"/>
    </row>
    <row r="16" spans="2:8" ht="18" customHeight="1" x14ac:dyDescent="0.35">
      <c r="B16" s="46" t="s">
        <v>49</v>
      </c>
      <c r="C16" s="47" t="s">
        <v>50</v>
      </c>
      <c r="D16" s="46" t="s">
        <v>51</v>
      </c>
      <c r="E16" s="44">
        <f>'📝 Mod Tracker'!N106</f>
        <v>727970.79</v>
      </c>
      <c r="F16" s="44">
        <f>'📝 Mod Tracker'!N107</f>
        <v>561144.15</v>
      </c>
      <c r="G16" s="46" t="s">
        <v>48</v>
      </c>
      <c r="H16" s="45"/>
    </row>
    <row r="17" spans="2:8" ht="18" customHeight="1" x14ac:dyDescent="0.35">
      <c r="B17" s="42" t="s">
        <v>52</v>
      </c>
      <c r="C17" s="43" t="s">
        <v>53</v>
      </c>
      <c r="D17" s="42" t="s">
        <v>51</v>
      </c>
      <c r="E17" s="44">
        <f>'📝 Mod Tracker'!R106</f>
        <v>869923.61</v>
      </c>
      <c r="F17" s="44">
        <f>'📝 Mod Tracker'!R107</f>
        <v>670566.12</v>
      </c>
      <c r="G17" s="42" t="s">
        <v>48</v>
      </c>
      <c r="H17" s="45"/>
    </row>
    <row r="18" spans="2:8" ht="18" customHeight="1" x14ac:dyDescent="0.35">
      <c r="B18" s="46" t="s">
        <v>54</v>
      </c>
      <c r="C18" s="47" t="s">
        <v>55</v>
      </c>
      <c r="D18" s="46" t="s">
        <v>51</v>
      </c>
      <c r="E18" s="44">
        <f>'📝 Mod Tracker'!V106</f>
        <v>688014.82</v>
      </c>
      <c r="F18" s="44">
        <f>'📝 Mod Tracker'!V107</f>
        <v>501677.47000000003</v>
      </c>
      <c r="G18" s="46" t="s">
        <v>48</v>
      </c>
      <c r="H18" s="45"/>
    </row>
    <row r="19" spans="2:8" ht="18" customHeight="1" x14ac:dyDescent="0.35">
      <c r="B19" s="42" t="s">
        <v>56</v>
      </c>
      <c r="C19" s="43" t="s">
        <v>57</v>
      </c>
      <c r="D19" s="42" t="s">
        <v>47</v>
      </c>
      <c r="E19" s="44">
        <f>'📝 Mod Tracker'!Z106</f>
        <v>33772.5</v>
      </c>
      <c r="F19" s="44">
        <f>'📝 Mod Tracker'!Z107</f>
        <v>24625.78</v>
      </c>
      <c r="G19" s="42" t="s">
        <v>48</v>
      </c>
      <c r="H19" s="45"/>
    </row>
    <row r="20" spans="2:8" ht="18" customHeight="1" x14ac:dyDescent="0.35">
      <c r="B20" s="46" t="s">
        <v>58</v>
      </c>
      <c r="C20" s="47" t="s">
        <v>59</v>
      </c>
      <c r="D20" s="46" t="s">
        <v>47</v>
      </c>
      <c r="E20" s="44">
        <f>'📝 Mod Tracker'!AD106</f>
        <v>199225.60000000001</v>
      </c>
      <c r="F20" s="44">
        <f>'📝 Mod Tracker'!AD107</f>
        <v>145268.66999999998</v>
      </c>
      <c r="G20" s="46" t="s">
        <v>48</v>
      </c>
      <c r="H20" s="45"/>
    </row>
    <row r="21" spans="2:8" ht="18" customHeight="1" x14ac:dyDescent="0.35">
      <c r="B21" s="42" t="s">
        <v>60</v>
      </c>
      <c r="C21" s="43" t="s">
        <v>33</v>
      </c>
      <c r="D21" s="42" t="s">
        <v>47</v>
      </c>
      <c r="E21" s="44">
        <f>'📝 Mod Tracker'!AH106</f>
        <v>268485.99</v>
      </c>
      <c r="F21" s="44">
        <f>'📝 Mod Tracker'!AH107</f>
        <v>268485.99</v>
      </c>
      <c r="G21" s="42" t="s">
        <v>48</v>
      </c>
      <c r="H21" s="45"/>
    </row>
    <row r="22" spans="2:8" ht="18" customHeight="1" x14ac:dyDescent="0.35">
      <c r="B22" s="46" t="s">
        <v>61</v>
      </c>
      <c r="C22" s="47" t="s">
        <v>62</v>
      </c>
      <c r="D22" s="46" t="s">
        <v>63</v>
      </c>
      <c r="E22" s="44">
        <f>'📝 Mod Tracker'!AL106</f>
        <v>132000</v>
      </c>
      <c r="F22" s="44">
        <f>'📝 Mod Tracker'!AL107</f>
        <v>60486.239999999998</v>
      </c>
      <c r="G22" s="46" t="s">
        <v>48</v>
      </c>
      <c r="H22" s="45"/>
    </row>
    <row r="23" spans="2:8" ht="18" customHeight="1" x14ac:dyDescent="0.35">
      <c r="B23" s="42" t="s">
        <v>64</v>
      </c>
      <c r="C23" s="43" t="s">
        <v>65</v>
      </c>
      <c r="D23" s="42" t="s">
        <v>63</v>
      </c>
      <c r="E23" s="44">
        <f>'📝 Mod Tracker'!AT106</f>
        <v>10144</v>
      </c>
      <c r="F23" s="44">
        <f>'📝 Mod Tracker'!AT107</f>
        <v>4999.99</v>
      </c>
      <c r="G23" s="42" t="s">
        <v>48</v>
      </c>
      <c r="H23" s="45"/>
    </row>
    <row r="24" spans="2:8" ht="19.5" customHeight="1" x14ac:dyDescent="0.35">
      <c r="B24" s="48" t="s">
        <v>66</v>
      </c>
      <c r="C24" s="49"/>
      <c r="D24" s="49"/>
      <c r="E24" s="50">
        <f>SUM(E15:E23)</f>
        <v>3523254.67</v>
      </c>
      <c r="F24" s="50">
        <f>SUM(F15:F23)</f>
        <v>2670173.3200000003</v>
      </c>
      <c r="G24" s="49"/>
      <c r="H24" s="4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AX112"/>
  <sheetViews>
    <sheetView showGridLines="0" topLeftCell="B98" zoomScale="77" zoomScaleNormal="170" workbookViewId="0">
      <selection activeCell="AW8" sqref="AW8"/>
    </sheetView>
  </sheetViews>
  <sheetFormatPr defaultColWidth="8.81640625" defaultRowHeight="14.5" x14ac:dyDescent="0.35"/>
  <cols>
    <col min="1" max="1" width="2" customWidth="1"/>
    <col min="2" max="2" width="10" customWidth="1"/>
    <col min="3" max="3" width="13" customWidth="1"/>
    <col min="4" max="4" width="14" customWidth="1"/>
    <col min="5" max="5" width="22" customWidth="1"/>
    <col min="6" max="6" width="18" customWidth="1"/>
    <col min="7" max="7" width="9" customWidth="1"/>
    <col min="8" max="10" width="13" customWidth="1"/>
    <col min="11" max="11" width="2" customWidth="1"/>
    <col min="12" max="14" width="13" customWidth="1"/>
    <col min="15" max="15" width="2" customWidth="1"/>
    <col min="16" max="18" width="13" customWidth="1"/>
    <col min="19" max="19" width="2" customWidth="1"/>
    <col min="20" max="22" width="13" customWidth="1"/>
    <col min="23" max="23" width="2" customWidth="1"/>
    <col min="24" max="26" width="13" customWidth="1"/>
    <col min="27" max="27" width="2" customWidth="1"/>
    <col min="28" max="30" width="13" customWidth="1"/>
    <col min="31" max="31" width="2" customWidth="1"/>
    <col min="32" max="34" width="13" customWidth="1"/>
    <col min="35" max="35" width="2" customWidth="1"/>
    <col min="36" max="38" width="13" customWidth="1"/>
    <col min="39" max="39" width="2" customWidth="1"/>
    <col min="40" max="42" width="13" customWidth="1"/>
    <col min="43" max="43" width="2" customWidth="1"/>
    <col min="44" max="46" width="13" customWidth="1"/>
    <col min="47" max="47" width="2" customWidth="1"/>
    <col min="48" max="50" width="15" customWidth="1"/>
  </cols>
  <sheetData>
    <row r="1" spans="2:50" ht="32" customHeight="1" x14ac:dyDescent="0.35">
      <c r="B1" s="144" t="s">
        <v>67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</row>
    <row r="2" spans="2:50" ht="18" customHeight="1" x14ac:dyDescent="0.35">
      <c r="B2" s="150" t="s">
        <v>68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</row>
    <row r="3" spans="2:50" ht="20" customHeight="1" x14ac:dyDescent="0.35">
      <c r="B3" s="152" t="s">
        <v>69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</row>
    <row r="4" spans="2:50" ht="22" customHeight="1" x14ac:dyDescent="0.35">
      <c r="B4" s="135" t="s">
        <v>70</v>
      </c>
      <c r="C4" s="123"/>
      <c r="D4" s="123"/>
      <c r="E4" s="123"/>
      <c r="F4" s="123"/>
      <c r="G4" s="123"/>
      <c r="H4" s="149" t="s">
        <v>71</v>
      </c>
      <c r="I4" s="123"/>
      <c r="J4" s="123"/>
      <c r="L4" s="155" t="s">
        <v>72</v>
      </c>
      <c r="M4" s="123"/>
      <c r="N4" s="123"/>
      <c r="P4" s="142" t="s">
        <v>73</v>
      </c>
      <c r="Q4" s="123"/>
      <c r="R4" s="123"/>
      <c r="T4" s="159" t="s">
        <v>74</v>
      </c>
      <c r="U4" s="123"/>
      <c r="V4" s="123"/>
      <c r="X4" s="125" t="s">
        <v>75</v>
      </c>
      <c r="Y4" s="123"/>
      <c r="Z4" s="123"/>
      <c r="AB4" s="151" t="s">
        <v>76</v>
      </c>
      <c r="AC4" s="123"/>
      <c r="AD4" s="123"/>
      <c r="AF4" s="137" t="s">
        <v>77</v>
      </c>
      <c r="AG4" s="123"/>
      <c r="AH4" s="123"/>
      <c r="AJ4" s="165" t="s">
        <v>78</v>
      </c>
      <c r="AK4" s="123"/>
      <c r="AL4" s="123"/>
      <c r="AN4" s="122" t="s">
        <v>79</v>
      </c>
      <c r="AO4" s="123"/>
      <c r="AP4" s="123"/>
      <c r="AR4" s="122" t="s">
        <v>79</v>
      </c>
      <c r="AS4" s="123"/>
      <c r="AT4" s="123"/>
      <c r="AV4" s="135" t="s">
        <v>80</v>
      </c>
      <c r="AW4" s="123"/>
      <c r="AX4" s="123"/>
    </row>
    <row r="5" spans="2:50" ht="20" customHeight="1" x14ac:dyDescent="0.35">
      <c r="B5" s="166" t="s">
        <v>81</v>
      </c>
      <c r="C5" s="135" t="s">
        <v>82</v>
      </c>
      <c r="D5" s="135" t="s">
        <v>83</v>
      </c>
      <c r="E5" s="135" t="s">
        <v>84</v>
      </c>
      <c r="F5" s="123"/>
      <c r="G5" s="135" t="s">
        <v>85</v>
      </c>
      <c r="H5" s="135" t="s">
        <v>86</v>
      </c>
      <c r="I5" s="135" t="s">
        <v>87</v>
      </c>
      <c r="J5" s="135" t="s">
        <v>88</v>
      </c>
      <c r="L5" s="134" t="s">
        <v>86</v>
      </c>
      <c r="M5" s="134" t="s">
        <v>87</v>
      </c>
      <c r="N5" s="134" t="s">
        <v>88</v>
      </c>
      <c r="P5" s="139" t="s">
        <v>86</v>
      </c>
      <c r="Q5" s="139" t="s">
        <v>87</v>
      </c>
      <c r="R5" s="139" t="s">
        <v>88</v>
      </c>
      <c r="T5" s="160" t="s">
        <v>86</v>
      </c>
      <c r="U5" s="160" t="s">
        <v>87</v>
      </c>
      <c r="V5" s="160" t="s">
        <v>88</v>
      </c>
      <c r="X5" s="146" t="s">
        <v>86</v>
      </c>
      <c r="Y5" s="146" t="s">
        <v>87</v>
      </c>
      <c r="Z5" s="146" t="s">
        <v>88</v>
      </c>
      <c r="AB5" s="158" t="s">
        <v>86</v>
      </c>
      <c r="AC5" s="158" t="s">
        <v>87</v>
      </c>
      <c r="AD5" s="158" t="s">
        <v>88</v>
      </c>
      <c r="AF5" s="140" t="s">
        <v>86</v>
      </c>
      <c r="AG5" s="140" t="s">
        <v>87</v>
      </c>
      <c r="AH5" s="140" t="s">
        <v>88</v>
      </c>
      <c r="AJ5" s="147" t="s">
        <v>86</v>
      </c>
      <c r="AK5" s="147" t="s">
        <v>87</v>
      </c>
      <c r="AL5" s="147" t="s">
        <v>88</v>
      </c>
      <c r="AN5" s="124" t="s">
        <v>86</v>
      </c>
      <c r="AO5" s="124" t="s">
        <v>87</v>
      </c>
      <c r="AP5" s="124" t="s">
        <v>88</v>
      </c>
      <c r="AR5" s="124" t="s">
        <v>86</v>
      </c>
      <c r="AS5" s="124" t="s">
        <v>87</v>
      </c>
      <c r="AT5" s="124" t="s">
        <v>88</v>
      </c>
      <c r="AV5" s="135" t="s">
        <v>86</v>
      </c>
      <c r="AW5" s="135" t="s">
        <v>87</v>
      </c>
      <c r="AX5" s="135" t="s">
        <v>88</v>
      </c>
    </row>
    <row r="6" spans="2:50" ht="14" customHeight="1" x14ac:dyDescent="0.35">
      <c r="B6" s="123"/>
      <c r="C6" s="123"/>
      <c r="D6" s="123"/>
      <c r="E6" s="123"/>
      <c r="F6" s="123"/>
      <c r="G6" s="123"/>
      <c r="H6" s="123"/>
      <c r="I6" s="123"/>
      <c r="J6" s="123"/>
      <c r="L6" s="123"/>
      <c r="M6" s="123"/>
      <c r="N6" s="123"/>
      <c r="P6" s="123"/>
      <c r="Q6" s="123"/>
      <c r="R6" s="123"/>
      <c r="T6" s="123"/>
      <c r="U6" s="123"/>
      <c r="V6" s="123"/>
      <c r="X6" s="123"/>
      <c r="Y6" s="123"/>
      <c r="Z6" s="123"/>
      <c r="AB6" s="123"/>
      <c r="AC6" s="123"/>
      <c r="AD6" s="123"/>
      <c r="AF6" s="123"/>
      <c r="AG6" s="123"/>
      <c r="AH6" s="123"/>
      <c r="AJ6" s="123"/>
      <c r="AK6" s="123"/>
      <c r="AL6" s="123"/>
      <c r="AN6" s="123"/>
      <c r="AO6" s="123"/>
      <c r="AP6" s="123"/>
      <c r="AR6" s="123"/>
      <c r="AS6" s="123"/>
      <c r="AT6" s="123"/>
      <c r="AV6" s="123"/>
      <c r="AW6" s="123"/>
      <c r="AX6" s="123"/>
    </row>
    <row r="7" spans="2:50" ht="22" customHeight="1" x14ac:dyDescent="0.35">
      <c r="B7" s="157" t="s">
        <v>89</v>
      </c>
      <c r="C7" s="123"/>
      <c r="D7" s="123"/>
      <c r="E7" s="141" t="s">
        <v>90</v>
      </c>
      <c r="F7" s="123"/>
      <c r="G7" s="19" t="s">
        <v>91</v>
      </c>
      <c r="H7" s="9" t="s">
        <v>92</v>
      </c>
      <c r="I7" s="10">
        <v>0</v>
      </c>
      <c r="J7" s="11">
        <f>I7</f>
        <v>0</v>
      </c>
      <c r="L7" s="9" t="s">
        <v>92</v>
      </c>
      <c r="M7" s="10">
        <v>0</v>
      </c>
      <c r="N7" s="11">
        <f>M7</f>
        <v>0</v>
      </c>
      <c r="P7" s="9" t="s">
        <v>92</v>
      </c>
      <c r="Q7" s="10">
        <v>0</v>
      </c>
      <c r="R7" s="11">
        <f>Q7</f>
        <v>0</v>
      </c>
      <c r="T7" s="9" t="s">
        <v>92</v>
      </c>
      <c r="U7" s="10">
        <v>0</v>
      </c>
      <c r="V7" s="11">
        <f>U7</f>
        <v>0</v>
      </c>
      <c r="X7" s="9" t="s">
        <v>92</v>
      </c>
      <c r="Y7" s="10">
        <v>0</v>
      </c>
      <c r="Z7" s="11">
        <f>Y7</f>
        <v>0</v>
      </c>
      <c r="AB7" s="9" t="s">
        <v>92</v>
      </c>
      <c r="AC7" s="10">
        <v>0</v>
      </c>
      <c r="AD7" s="11">
        <f>AC7</f>
        <v>0</v>
      </c>
      <c r="AF7" s="9" t="s">
        <v>92</v>
      </c>
      <c r="AG7" s="10">
        <v>0</v>
      </c>
      <c r="AH7" s="11">
        <f>AG7</f>
        <v>0</v>
      </c>
      <c r="AJ7" s="9" t="s">
        <v>92</v>
      </c>
      <c r="AK7" s="10">
        <v>0</v>
      </c>
      <c r="AL7" s="11">
        <f>AK7</f>
        <v>0</v>
      </c>
      <c r="AN7" s="9" t="s">
        <v>92</v>
      </c>
      <c r="AO7" s="10">
        <v>0</v>
      </c>
      <c r="AP7" s="11">
        <f>AO7</f>
        <v>0</v>
      </c>
      <c r="AR7" s="9" t="s">
        <v>92</v>
      </c>
      <c r="AS7" s="10">
        <v>0</v>
      </c>
      <c r="AT7" s="11">
        <f>AS7</f>
        <v>0</v>
      </c>
      <c r="AV7" s="9" t="s">
        <v>92</v>
      </c>
      <c r="AW7" s="11">
        <f>I7+M7+Q7+U7+Y7+AC7+AG7+AK7+AS7</f>
        <v>0</v>
      </c>
      <c r="AX7" s="11">
        <f>J7+N7+R7+V7+Z7+AD7+AH7+AL7+AT7</f>
        <v>0</v>
      </c>
    </row>
    <row r="8" spans="2:50" ht="20" customHeight="1" x14ac:dyDescent="0.35">
      <c r="B8" s="123"/>
      <c r="C8" s="123"/>
      <c r="D8" s="123"/>
      <c r="E8" s="123"/>
      <c r="F8" s="123"/>
      <c r="G8" s="19" t="s">
        <v>93</v>
      </c>
      <c r="H8" s="9" t="s">
        <v>92</v>
      </c>
      <c r="I8" s="10">
        <v>0</v>
      </c>
      <c r="J8" s="11">
        <f>I8</f>
        <v>0</v>
      </c>
      <c r="L8" s="9" t="s">
        <v>92</v>
      </c>
      <c r="M8" s="10">
        <v>0</v>
      </c>
      <c r="N8" s="11">
        <f>M8</f>
        <v>0</v>
      </c>
      <c r="P8" s="9" t="s">
        <v>92</v>
      </c>
      <c r="Q8" s="10">
        <v>0</v>
      </c>
      <c r="R8" s="11">
        <f>Q8</f>
        <v>0</v>
      </c>
      <c r="T8" s="9" t="s">
        <v>92</v>
      </c>
      <c r="U8" s="10">
        <v>0</v>
      </c>
      <c r="V8" s="11">
        <f>U8</f>
        <v>0</v>
      </c>
      <c r="X8" s="9" t="s">
        <v>92</v>
      </c>
      <c r="Y8" s="10">
        <v>0</v>
      </c>
      <c r="Z8" s="11">
        <f>Y8</f>
        <v>0</v>
      </c>
      <c r="AB8" s="9" t="s">
        <v>92</v>
      </c>
      <c r="AC8" s="10">
        <v>0</v>
      </c>
      <c r="AD8" s="11">
        <f>AC8</f>
        <v>0</v>
      </c>
      <c r="AF8" s="9" t="s">
        <v>92</v>
      </c>
      <c r="AG8" s="10">
        <v>0</v>
      </c>
      <c r="AH8" s="11">
        <f>AG8</f>
        <v>0</v>
      </c>
      <c r="AJ8" s="9" t="s">
        <v>92</v>
      </c>
      <c r="AK8" s="10">
        <v>0</v>
      </c>
      <c r="AL8" s="11">
        <f>AK8</f>
        <v>0</v>
      </c>
      <c r="AN8" s="9" t="s">
        <v>92</v>
      </c>
      <c r="AO8" s="10">
        <v>0</v>
      </c>
      <c r="AP8" s="11">
        <f>AO8</f>
        <v>0</v>
      </c>
      <c r="AR8" s="9" t="s">
        <v>92</v>
      </c>
      <c r="AS8" s="10">
        <v>0</v>
      </c>
      <c r="AT8" s="11">
        <f>AS8</f>
        <v>0</v>
      </c>
      <c r="AV8" s="9" t="s">
        <v>92</v>
      </c>
      <c r="AW8" s="11">
        <f>I8+M8+Q8+U8+Y8+AC8+AG8+AK8+AS8</f>
        <v>0</v>
      </c>
      <c r="AX8" s="11">
        <f>J8+N8+R8+V8+Z8+AD8+AH8+AL8+AT8</f>
        <v>0</v>
      </c>
    </row>
    <row r="10" spans="2:50" ht="22" customHeight="1" x14ac:dyDescent="0.35">
      <c r="B10" s="138" t="s">
        <v>94</v>
      </c>
      <c r="C10" s="126"/>
      <c r="D10" s="129"/>
      <c r="E10" s="127"/>
      <c r="F10" s="123"/>
      <c r="G10" s="18" t="s">
        <v>91</v>
      </c>
      <c r="H10" s="12">
        <f>J7</f>
        <v>0</v>
      </c>
      <c r="I10" s="10">
        <v>0</v>
      </c>
      <c r="J10" s="11">
        <f>H10+I10</f>
        <v>0</v>
      </c>
      <c r="L10" s="12">
        <f>N7</f>
        <v>0</v>
      </c>
      <c r="M10" s="10">
        <v>0</v>
      </c>
      <c r="N10" s="11">
        <f>L10+M10</f>
        <v>0</v>
      </c>
      <c r="P10" s="12">
        <f>R7</f>
        <v>0</v>
      </c>
      <c r="Q10" s="10">
        <v>0</v>
      </c>
      <c r="R10" s="11">
        <f>P10+Q10</f>
        <v>0</v>
      </c>
      <c r="T10" s="12">
        <f>V7</f>
        <v>0</v>
      </c>
      <c r="U10" s="10">
        <v>0</v>
      </c>
      <c r="V10" s="11">
        <f>T10+U10</f>
        <v>0</v>
      </c>
      <c r="X10" s="12">
        <f>Z7</f>
        <v>0</v>
      </c>
      <c r="Y10" s="10">
        <v>0</v>
      </c>
      <c r="Z10" s="11">
        <f>X10+Y10</f>
        <v>0</v>
      </c>
      <c r="AB10" s="12">
        <f>AD7</f>
        <v>0</v>
      </c>
      <c r="AC10" s="10">
        <v>0</v>
      </c>
      <c r="AD10" s="11">
        <f>AB10+AC10</f>
        <v>0</v>
      </c>
      <c r="AF10" s="12">
        <f>AH7</f>
        <v>0</v>
      </c>
      <c r="AG10" s="10">
        <v>0</v>
      </c>
      <c r="AH10" s="11">
        <f>AF10+AG10</f>
        <v>0</v>
      </c>
      <c r="AJ10" s="12">
        <f>AL7</f>
        <v>0</v>
      </c>
      <c r="AK10" s="10">
        <v>0</v>
      </c>
      <c r="AL10" s="11">
        <f>AJ10+AK10</f>
        <v>0</v>
      </c>
      <c r="AN10" s="12">
        <f>AP7</f>
        <v>0</v>
      </c>
      <c r="AO10" s="10">
        <v>0</v>
      </c>
      <c r="AP10" s="11">
        <f>AN10+AO10</f>
        <v>0</v>
      </c>
      <c r="AR10" s="12">
        <f>AT7</f>
        <v>0</v>
      </c>
      <c r="AS10" s="10">
        <v>0</v>
      </c>
      <c r="AT10" s="11">
        <f>AR10+AS10</f>
        <v>0</v>
      </c>
      <c r="AV10" s="11">
        <f t="shared" ref="AV10:AX11" si="0">H10+L10+P10+T10+X10+AB10+AF10+AJ10+AR10</f>
        <v>0</v>
      </c>
      <c r="AW10" s="13">
        <f t="shared" si="0"/>
        <v>0</v>
      </c>
      <c r="AX10" s="11">
        <f t="shared" si="0"/>
        <v>0</v>
      </c>
    </row>
    <row r="11" spans="2:50" ht="20" customHeight="1" x14ac:dyDescent="0.35">
      <c r="B11" s="123"/>
      <c r="C11" s="123"/>
      <c r="D11" s="123"/>
      <c r="E11" s="123"/>
      <c r="F11" s="123"/>
      <c r="G11" s="18" t="s">
        <v>93</v>
      </c>
      <c r="H11" s="12">
        <f>J8</f>
        <v>0</v>
      </c>
      <c r="I11" s="10">
        <v>0</v>
      </c>
      <c r="J11" s="11">
        <f>H11+I11</f>
        <v>0</v>
      </c>
      <c r="L11" s="12">
        <f>N8</f>
        <v>0</v>
      </c>
      <c r="M11" s="10">
        <v>0</v>
      </c>
      <c r="N11" s="11">
        <f>L11+M11</f>
        <v>0</v>
      </c>
      <c r="P11" s="12">
        <f>R8</f>
        <v>0</v>
      </c>
      <c r="Q11" s="10">
        <v>0</v>
      </c>
      <c r="R11" s="11">
        <f>P11+Q11</f>
        <v>0</v>
      </c>
      <c r="T11" s="12">
        <f>V8</f>
        <v>0</v>
      </c>
      <c r="U11" s="10">
        <v>0</v>
      </c>
      <c r="V11" s="11">
        <f>T11+U11</f>
        <v>0</v>
      </c>
      <c r="X11" s="12">
        <f>Z8</f>
        <v>0</v>
      </c>
      <c r="Y11" s="10">
        <v>0</v>
      </c>
      <c r="Z11" s="11">
        <f>X11+Y11</f>
        <v>0</v>
      </c>
      <c r="AB11" s="12">
        <f>AD8</f>
        <v>0</v>
      </c>
      <c r="AC11" s="10">
        <v>0</v>
      </c>
      <c r="AD11" s="11">
        <f>AB11+AC11</f>
        <v>0</v>
      </c>
      <c r="AF11" s="12">
        <f>AH8</f>
        <v>0</v>
      </c>
      <c r="AG11" s="10">
        <v>0</v>
      </c>
      <c r="AH11" s="11">
        <f>AF11+AG11</f>
        <v>0</v>
      </c>
      <c r="AJ11" s="12">
        <f>AL8</f>
        <v>0</v>
      </c>
      <c r="AK11" s="10">
        <v>0</v>
      </c>
      <c r="AL11" s="11">
        <f>AJ11+AK11</f>
        <v>0</v>
      </c>
      <c r="AN11" s="12">
        <f>AP8</f>
        <v>0</v>
      </c>
      <c r="AO11" s="10">
        <v>0</v>
      </c>
      <c r="AP11" s="11">
        <f>AN11+AO11</f>
        <v>0</v>
      </c>
      <c r="AR11" s="12">
        <f>AT8</f>
        <v>0</v>
      </c>
      <c r="AS11" s="10">
        <v>0</v>
      </c>
      <c r="AT11" s="11">
        <f>AR11+AS11</f>
        <v>0</v>
      </c>
      <c r="AV11" s="11">
        <f t="shared" si="0"/>
        <v>0</v>
      </c>
      <c r="AW11" s="13">
        <f t="shared" si="0"/>
        <v>0</v>
      </c>
      <c r="AX11" s="11">
        <f t="shared" si="0"/>
        <v>0</v>
      </c>
    </row>
    <row r="12" spans="2:50" ht="18" customHeight="1" x14ac:dyDescent="0.35">
      <c r="B12" s="132" t="s">
        <v>95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</row>
    <row r="13" spans="2:50" ht="6" customHeight="1" x14ac:dyDescent="0.35">
      <c r="B13" s="28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</row>
    <row r="14" spans="2:50" ht="22" customHeight="1" x14ac:dyDescent="0.35">
      <c r="B14" s="133" t="s">
        <v>96</v>
      </c>
      <c r="C14" s="126"/>
      <c r="D14" s="129"/>
      <c r="E14" s="127"/>
      <c r="F14" s="123"/>
      <c r="G14" s="22" t="s">
        <v>91</v>
      </c>
      <c r="H14" s="12">
        <f>J10</f>
        <v>0</v>
      </c>
      <c r="I14" s="10">
        <v>0</v>
      </c>
      <c r="J14" s="11">
        <f>H14+I14</f>
        <v>0</v>
      </c>
      <c r="L14" s="12">
        <f>N10</f>
        <v>0</v>
      </c>
      <c r="M14" s="10">
        <v>0</v>
      </c>
      <c r="N14" s="11">
        <f>L14+M14</f>
        <v>0</v>
      </c>
      <c r="P14" s="12">
        <f>R10</f>
        <v>0</v>
      </c>
      <c r="Q14" s="10">
        <v>0</v>
      </c>
      <c r="R14" s="11">
        <f>P14+Q14</f>
        <v>0</v>
      </c>
      <c r="T14" s="12">
        <f>V10</f>
        <v>0</v>
      </c>
      <c r="U14" s="10">
        <v>0</v>
      </c>
      <c r="V14" s="11">
        <f>T14+U14</f>
        <v>0</v>
      </c>
      <c r="X14" s="12">
        <f>Z10</f>
        <v>0</v>
      </c>
      <c r="Y14" s="10">
        <v>0</v>
      </c>
      <c r="Z14" s="11">
        <f>X14+Y14</f>
        <v>0</v>
      </c>
      <c r="AB14" s="12">
        <f>AD10</f>
        <v>0</v>
      </c>
      <c r="AC14" s="10">
        <v>0</v>
      </c>
      <c r="AD14" s="11">
        <f>AB14+AC14</f>
        <v>0</v>
      </c>
      <c r="AF14" s="12">
        <f>AH10</f>
        <v>0</v>
      </c>
      <c r="AG14" s="10">
        <v>0</v>
      </c>
      <c r="AH14" s="11">
        <f>AF14+AG14</f>
        <v>0</v>
      </c>
      <c r="AJ14" s="12">
        <f>AL10</f>
        <v>0</v>
      </c>
      <c r="AK14" s="10">
        <v>0</v>
      </c>
      <c r="AL14" s="11">
        <f>AJ14+AK14</f>
        <v>0</v>
      </c>
      <c r="AN14" s="12">
        <f>AP10</f>
        <v>0</v>
      </c>
      <c r="AO14" s="10">
        <v>0</v>
      </c>
      <c r="AP14" s="11">
        <f>AN14+AO14</f>
        <v>0</v>
      </c>
      <c r="AR14" s="12">
        <f>AT10</f>
        <v>0</v>
      </c>
      <c r="AS14" s="10">
        <v>0</v>
      </c>
      <c r="AT14" s="11">
        <f>AR14+AS14</f>
        <v>0</v>
      </c>
      <c r="AV14" s="11">
        <f t="shared" ref="AV14:AX15" si="1">H14+L14+P14+T14+X14+AB14+AF14+AJ14+AR14</f>
        <v>0</v>
      </c>
      <c r="AW14" s="13">
        <f t="shared" si="1"/>
        <v>0</v>
      </c>
      <c r="AX14" s="11">
        <f t="shared" si="1"/>
        <v>0</v>
      </c>
    </row>
    <row r="15" spans="2:50" ht="20" customHeight="1" x14ac:dyDescent="0.35">
      <c r="B15" s="123"/>
      <c r="C15" s="123"/>
      <c r="D15" s="123"/>
      <c r="E15" s="123"/>
      <c r="F15" s="123"/>
      <c r="G15" s="18" t="s">
        <v>93</v>
      </c>
      <c r="H15" s="12">
        <f>J11</f>
        <v>0</v>
      </c>
      <c r="I15" s="10">
        <v>0</v>
      </c>
      <c r="J15" s="11">
        <f>H15+I15</f>
        <v>0</v>
      </c>
      <c r="L15" s="12">
        <f>N11</f>
        <v>0</v>
      </c>
      <c r="M15" s="10">
        <v>0</v>
      </c>
      <c r="N15" s="11">
        <f>L15+M15</f>
        <v>0</v>
      </c>
      <c r="P15" s="12">
        <f>R11</f>
        <v>0</v>
      </c>
      <c r="Q15" s="10">
        <v>0</v>
      </c>
      <c r="R15" s="11">
        <f>P15+Q15</f>
        <v>0</v>
      </c>
      <c r="T15" s="12">
        <f>V11</f>
        <v>0</v>
      </c>
      <c r="U15" s="10">
        <v>0</v>
      </c>
      <c r="V15" s="11">
        <f>T15+U15</f>
        <v>0</v>
      </c>
      <c r="X15" s="12">
        <f>Z11</f>
        <v>0</v>
      </c>
      <c r="Y15" s="10">
        <v>0</v>
      </c>
      <c r="Z15" s="11">
        <f>X15+Y15</f>
        <v>0</v>
      </c>
      <c r="AB15" s="12">
        <f>AD11</f>
        <v>0</v>
      </c>
      <c r="AC15" s="10">
        <v>0</v>
      </c>
      <c r="AD15" s="11">
        <f>AB15+AC15</f>
        <v>0</v>
      </c>
      <c r="AF15" s="12">
        <f>AH11</f>
        <v>0</v>
      </c>
      <c r="AG15" s="10">
        <v>0</v>
      </c>
      <c r="AH15" s="11">
        <f>AF15+AG15</f>
        <v>0</v>
      </c>
      <c r="AJ15" s="12">
        <f>AL11</f>
        <v>0</v>
      </c>
      <c r="AK15" s="10">
        <v>0</v>
      </c>
      <c r="AL15" s="11">
        <f>AJ15+AK15</f>
        <v>0</v>
      </c>
      <c r="AN15" s="12">
        <f>AP11</f>
        <v>0</v>
      </c>
      <c r="AO15" s="10">
        <v>0</v>
      </c>
      <c r="AP15" s="11">
        <f>AN15+AO15</f>
        <v>0</v>
      </c>
      <c r="AR15" s="12">
        <f>AT11</f>
        <v>0</v>
      </c>
      <c r="AS15" s="10">
        <v>0</v>
      </c>
      <c r="AT15" s="11">
        <f>AR15+AS15</f>
        <v>0</v>
      </c>
      <c r="AV15" s="11">
        <f t="shared" si="1"/>
        <v>0</v>
      </c>
      <c r="AW15" s="13">
        <f t="shared" si="1"/>
        <v>0</v>
      </c>
      <c r="AX15" s="11">
        <f t="shared" si="1"/>
        <v>0</v>
      </c>
    </row>
    <row r="16" spans="2:50" ht="18" customHeight="1" x14ac:dyDescent="0.35">
      <c r="B16" s="132" t="s">
        <v>95</v>
      </c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</row>
    <row r="17" spans="2:50" ht="6" customHeight="1" x14ac:dyDescent="0.35">
      <c r="B17" s="28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</row>
    <row r="18" spans="2:50" ht="22" customHeight="1" x14ac:dyDescent="0.35">
      <c r="B18" s="153" t="s">
        <v>97</v>
      </c>
      <c r="C18" s="126"/>
      <c r="D18" s="129"/>
      <c r="E18" s="127"/>
      <c r="F18" s="123"/>
      <c r="G18" s="25" t="s">
        <v>91</v>
      </c>
      <c r="H18" s="12">
        <f>J14</f>
        <v>0</v>
      </c>
      <c r="I18" s="10">
        <v>0</v>
      </c>
      <c r="J18" s="11">
        <f>H18+I18</f>
        <v>0</v>
      </c>
      <c r="L18" s="12">
        <f>N14</f>
        <v>0</v>
      </c>
      <c r="M18" s="10">
        <v>0</v>
      </c>
      <c r="N18" s="11">
        <f>L18+M18</f>
        <v>0</v>
      </c>
      <c r="P18" s="12">
        <f>R14</f>
        <v>0</v>
      </c>
      <c r="Q18" s="10">
        <v>0</v>
      </c>
      <c r="R18" s="11">
        <f>P18+Q18</f>
        <v>0</v>
      </c>
      <c r="T18" s="12">
        <f>V14</f>
        <v>0</v>
      </c>
      <c r="U18" s="10">
        <v>0</v>
      </c>
      <c r="V18" s="11">
        <f>T18+U18</f>
        <v>0</v>
      </c>
      <c r="X18" s="12">
        <f>Z14</f>
        <v>0</v>
      </c>
      <c r="Y18" s="10">
        <v>0</v>
      </c>
      <c r="Z18" s="11">
        <f>X18+Y18</f>
        <v>0</v>
      </c>
      <c r="AB18" s="12">
        <f>AD14</f>
        <v>0</v>
      </c>
      <c r="AC18" s="10">
        <v>0</v>
      </c>
      <c r="AD18" s="11">
        <f>AB18+AC18</f>
        <v>0</v>
      </c>
      <c r="AF18" s="12">
        <f>AH14</f>
        <v>0</v>
      </c>
      <c r="AG18" s="10">
        <v>0</v>
      </c>
      <c r="AH18" s="11">
        <f>AF18+AG18</f>
        <v>0</v>
      </c>
      <c r="AJ18" s="12">
        <f>AL14</f>
        <v>0</v>
      </c>
      <c r="AK18" s="10">
        <v>0</v>
      </c>
      <c r="AL18" s="11">
        <f>AJ18+AK18</f>
        <v>0</v>
      </c>
      <c r="AN18" s="12">
        <f>AP14</f>
        <v>0</v>
      </c>
      <c r="AO18" s="10">
        <v>0</v>
      </c>
      <c r="AP18" s="11">
        <f>AN18+AO18</f>
        <v>0</v>
      </c>
      <c r="AR18" s="12">
        <f>AT14</f>
        <v>0</v>
      </c>
      <c r="AS18" s="10">
        <v>0</v>
      </c>
      <c r="AT18" s="11">
        <f>AR18+AS18</f>
        <v>0</v>
      </c>
      <c r="AV18" s="11">
        <f t="shared" ref="AV18:AX19" si="2">H18+L18+P18+T18+X18+AB18+AF18+AJ18+AR18</f>
        <v>0</v>
      </c>
      <c r="AW18" s="13">
        <f t="shared" si="2"/>
        <v>0</v>
      </c>
      <c r="AX18" s="11">
        <f t="shared" si="2"/>
        <v>0</v>
      </c>
    </row>
    <row r="19" spans="2:50" ht="20" customHeight="1" x14ac:dyDescent="0.35">
      <c r="B19" s="123"/>
      <c r="C19" s="123"/>
      <c r="D19" s="123"/>
      <c r="E19" s="123"/>
      <c r="F19" s="123"/>
      <c r="G19" s="18" t="s">
        <v>93</v>
      </c>
      <c r="H19" s="12">
        <f>J15</f>
        <v>0</v>
      </c>
      <c r="I19" s="10">
        <v>0</v>
      </c>
      <c r="J19" s="11">
        <f>H19+I19</f>
        <v>0</v>
      </c>
      <c r="L19" s="12">
        <f>N15</f>
        <v>0</v>
      </c>
      <c r="M19" s="10">
        <v>0</v>
      </c>
      <c r="N19" s="11">
        <f>L19+M19</f>
        <v>0</v>
      </c>
      <c r="P19" s="12">
        <f>R15</f>
        <v>0</v>
      </c>
      <c r="Q19" s="10">
        <v>0</v>
      </c>
      <c r="R19" s="11">
        <f>P19+Q19</f>
        <v>0</v>
      </c>
      <c r="T19" s="12">
        <f>V15</f>
        <v>0</v>
      </c>
      <c r="U19" s="10">
        <v>0</v>
      </c>
      <c r="V19" s="11">
        <f>T19+U19</f>
        <v>0</v>
      </c>
      <c r="X19" s="12">
        <f>Z15</f>
        <v>0</v>
      </c>
      <c r="Y19" s="10">
        <v>0</v>
      </c>
      <c r="Z19" s="11">
        <f>X19+Y19</f>
        <v>0</v>
      </c>
      <c r="AB19" s="12">
        <f>AD15</f>
        <v>0</v>
      </c>
      <c r="AC19" s="10">
        <v>0</v>
      </c>
      <c r="AD19" s="11">
        <f>AB19+AC19</f>
        <v>0</v>
      </c>
      <c r="AF19" s="12">
        <f>AH15</f>
        <v>0</v>
      </c>
      <c r="AG19" s="10">
        <v>0</v>
      </c>
      <c r="AH19" s="11">
        <f>AF19+AG19</f>
        <v>0</v>
      </c>
      <c r="AJ19" s="12">
        <f>AL15</f>
        <v>0</v>
      </c>
      <c r="AK19" s="10">
        <v>0</v>
      </c>
      <c r="AL19" s="11">
        <f>AJ19+AK19</f>
        <v>0</v>
      </c>
      <c r="AN19" s="12">
        <f>AP15</f>
        <v>0</v>
      </c>
      <c r="AO19" s="10">
        <v>0</v>
      </c>
      <c r="AP19" s="11">
        <f>AN19+AO19</f>
        <v>0</v>
      </c>
      <c r="AR19" s="12">
        <f>AT15</f>
        <v>0</v>
      </c>
      <c r="AS19" s="10">
        <v>0</v>
      </c>
      <c r="AT19" s="11">
        <f>AR19+AS19</f>
        <v>0</v>
      </c>
      <c r="AV19" s="11">
        <f t="shared" si="2"/>
        <v>0</v>
      </c>
      <c r="AW19" s="13">
        <f t="shared" si="2"/>
        <v>0</v>
      </c>
      <c r="AX19" s="11">
        <f t="shared" si="2"/>
        <v>0</v>
      </c>
    </row>
    <row r="20" spans="2:50" ht="18" customHeight="1" x14ac:dyDescent="0.35">
      <c r="B20" s="132" t="s">
        <v>95</v>
      </c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</row>
    <row r="21" spans="2:50" ht="6" customHeight="1" x14ac:dyDescent="0.35">
      <c r="B21" s="28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</row>
    <row r="22" spans="2:50" ht="22" customHeight="1" x14ac:dyDescent="0.35">
      <c r="B22" s="143" t="s">
        <v>98</v>
      </c>
      <c r="C22" s="126"/>
      <c r="D22" s="129"/>
      <c r="E22" s="127"/>
      <c r="F22" s="123"/>
      <c r="G22" s="19" t="s">
        <v>91</v>
      </c>
      <c r="H22" s="12">
        <f>J18</f>
        <v>0</v>
      </c>
      <c r="I22" s="10">
        <v>0</v>
      </c>
      <c r="J22" s="11">
        <f>H22+I22</f>
        <v>0</v>
      </c>
      <c r="L22" s="12">
        <f>N18</f>
        <v>0</v>
      </c>
      <c r="M22" s="10">
        <v>0</v>
      </c>
      <c r="N22" s="11">
        <f>L22+M22</f>
        <v>0</v>
      </c>
      <c r="P22" s="12">
        <f>R18</f>
        <v>0</v>
      </c>
      <c r="Q22" s="10">
        <v>0</v>
      </c>
      <c r="R22" s="11">
        <f>P22+Q22</f>
        <v>0</v>
      </c>
      <c r="T22" s="12">
        <f>V18</f>
        <v>0</v>
      </c>
      <c r="U22" s="10">
        <v>0</v>
      </c>
      <c r="V22" s="11">
        <f>T22+U22</f>
        <v>0</v>
      </c>
      <c r="X22" s="12">
        <f>Z18</f>
        <v>0</v>
      </c>
      <c r="Y22" s="10">
        <v>0</v>
      </c>
      <c r="Z22" s="11">
        <f>X22+Y22</f>
        <v>0</v>
      </c>
      <c r="AB22" s="12">
        <f>AD18</f>
        <v>0</v>
      </c>
      <c r="AC22" s="10">
        <v>0</v>
      </c>
      <c r="AD22" s="11">
        <f>AB22+AC22</f>
        <v>0</v>
      </c>
      <c r="AF22" s="12">
        <f>AH18</f>
        <v>0</v>
      </c>
      <c r="AG22" s="10">
        <v>0</v>
      </c>
      <c r="AH22" s="11">
        <f>AF22+AG22</f>
        <v>0</v>
      </c>
      <c r="AJ22" s="12">
        <f>AL18</f>
        <v>0</v>
      </c>
      <c r="AK22" s="10">
        <v>0</v>
      </c>
      <c r="AL22" s="11">
        <f>AJ22+AK22</f>
        <v>0</v>
      </c>
      <c r="AN22" s="12">
        <f>AP18</f>
        <v>0</v>
      </c>
      <c r="AO22" s="10">
        <v>0</v>
      </c>
      <c r="AP22" s="11">
        <f>AN22+AO22</f>
        <v>0</v>
      </c>
      <c r="AR22" s="12">
        <f>AT18</f>
        <v>0</v>
      </c>
      <c r="AS22" s="10">
        <v>0</v>
      </c>
      <c r="AT22" s="11">
        <f>AR22+AS22</f>
        <v>0</v>
      </c>
      <c r="AV22" s="11">
        <f t="shared" ref="AV22:AX23" si="3">H22+L22+P22+T22+X22+AB22+AF22+AJ22+AR22</f>
        <v>0</v>
      </c>
      <c r="AW22" s="13">
        <f t="shared" si="3"/>
        <v>0</v>
      </c>
      <c r="AX22" s="11">
        <f t="shared" si="3"/>
        <v>0</v>
      </c>
    </row>
    <row r="23" spans="2:50" ht="20" customHeight="1" x14ac:dyDescent="0.35">
      <c r="B23" s="123"/>
      <c r="C23" s="123"/>
      <c r="D23" s="123"/>
      <c r="E23" s="123"/>
      <c r="F23" s="123"/>
      <c r="G23" s="18" t="s">
        <v>93</v>
      </c>
      <c r="H23" s="12">
        <f>J19</f>
        <v>0</v>
      </c>
      <c r="I23" s="10">
        <v>0</v>
      </c>
      <c r="J23" s="11">
        <f>H23+I23</f>
        <v>0</v>
      </c>
      <c r="L23" s="12">
        <f>N19</f>
        <v>0</v>
      </c>
      <c r="M23" s="10">
        <v>0</v>
      </c>
      <c r="N23" s="11">
        <f>L23+M23</f>
        <v>0</v>
      </c>
      <c r="P23" s="12">
        <f>R19</f>
        <v>0</v>
      </c>
      <c r="Q23" s="10">
        <v>0</v>
      </c>
      <c r="R23" s="11">
        <f>P23+Q23</f>
        <v>0</v>
      </c>
      <c r="T23" s="12">
        <f>V19</f>
        <v>0</v>
      </c>
      <c r="U23" s="10">
        <v>0</v>
      </c>
      <c r="V23" s="11">
        <f>T23+U23</f>
        <v>0</v>
      </c>
      <c r="X23" s="12">
        <f>Z19</f>
        <v>0</v>
      </c>
      <c r="Y23" s="10">
        <v>0</v>
      </c>
      <c r="Z23" s="11">
        <f>X23+Y23</f>
        <v>0</v>
      </c>
      <c r="AB23" s="12">
        <f>AD19</f>
        <v>0</v>
      </c>
      <c r="AC23" s="10">
        <v>0</v>
      </c>
      <c r="AD23" s="11">
        <f>AB23+AC23</f>
        <v>0</v>
      </c>
      <c r="AF23" s="12">
        <f>AH19</f>
        <v>0</v>
      </c>
      <c r="AG23" s="10">
        <v>0</v>
      </c>
      <c r="AH23" s="11">
        <f>AF23+AG23</f>
        <v>0</v>
      </c>
      <c r="AJ23" s="12">
        <f>AL19</f>
        <v>0</v>
      </c>
      <c r="AK23" s="10">
        <v>0</v>
      </c>
      <c r="AL23" s="11">
        <f>AJ23+AK23</f>
        <v>0</v>
      </c>
      <c r="AN23" s="12">
        <f>AP19</f>
        <v>0</v>
      </c>
      <c r="AO23" s="10">
        <v>0</v>
      </c>
      <c r="AP23" s="11">
        <f>AN23+AO23</f>
        <v>0</v>
      </c>
      <c r="AR23" s="12">
        <f>AT19</f>
        <v>0</v>
      </c>
      <c r="AS23" s="10">
        <v>0</v>
      </c>
      <c r="AT23" s="11">
        <f>AR23+AS23</f>
        <v>0</v>
      </c>
      <c r="AV23" s="11">
        <f t="shared" si="3"/>
        <v>0</v>
      </c>
      <c r="AW23" s="13">
        <f t="shared" si="3"/>
        <v>0</v>
      </c>
      <c r="AX23" s="11">
        <f t="shared" si="3"/>
        <v>0</v>
      </c>
    </row>
    <row r="24" spans="2:50" ht="18" customHeight="1" x14ac:dyDescent="0.35">
      <c r="B24" s="132" t="s">
        <v>95</v>
      </c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</row>
    <row r="25" spans="2:50" ht="6" customHeight="1" x14ac:dyDescent="0.35">
      <c r="B25" s="28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</row>
    <row r="26" spans="2:50" ht="22" customHeight="1" x14ac:dyDescent="0.35">
      <c r="B26" s="161" t="s">
        <v>99</v>
      </c>
      <c r="C26" s="126"/>
      <c r="D26" s="129"/>
      <c r="E26" s="127"/>
      <c r="F26" s="123"/>
      <c r="G26" s="23" t="s">
        <v>91</v>
      </c>
      <c r="H26" s="12">
        <f>J22</f>
        <v>0</v>
      </c>
      <c r="I26" s="10">
        <v>0</v>
      </c>
      <c r="J26" s="11">
        <f>H26+I26</f>
        <v>0</v>
      </c>
      <c r="L26" s="12">
        <f>N22</f>
        <v>0</v>
      </c>
      <c r="M26" s="10">
        <v>0</v>
      </c>
      <c r="N26" s="11">
        <f>L26+M26</f>
        <v>0</v>
      </c>
      <c r="P26" s="12">
        <f>R22</f>
        <v>0</v>
      </c>
      <c r="Q26" s="10">
        <v>0</v>
      </c>
      <c r="R26" s="11">
        <f>P26+Q26</f>
        <v>0</v>
      </c>
      <c r="T26" s="12">
        <f>V22</f>
        <v>0</v>
      </c>
      <c r="U26" s="10">
        <v>0</v>
      </c>
      <c r="V26" s="11">
        <f>T26+U26</f>
        <v>0</v>
      </c>
      <c r="X26" s="12">
        <f>Z22</f>
        <v>0</v>
      </c>
      <c r="Y26" s="10">
        <v>0</v>
      </c>
      <c r="Z26" s="11">
        <f>X26+Y26</f>
        <v>0</v>
      </c>
      <c r="AB26" s="12">
        <f>AD22</f>
        <v>0</v>
      </c>
      <c r="AC26" s="10">
        <v>0</v>
      </c>
      <c r="AD26" s="11">
        <f>AB26+AC26</f>
        <v>0</v>
      </c>
      <c r="AF26" s="12">
        <f>AH22</f>
        <v>0</v>
      </c>
      <c r="AG26" s="10">
        <v>0</v>
      </c>
      <c r="AH26" s="11">
        <f>AF26+AG26</f>
        <v>0</v>
      </c>
      <c r="AJ26" s="12">
        <f>AL22</f>
        <v>0</v>
      </c>
      <c r="AK26" s="10">
        <v>0</v>
      </c>
      <c r="AL26" s="11">
        <f>AJ26+AK26</f>
        <v>0</v>
      </c>
      <c r="AN26" s="12">
        <f>AP22</f>
        <v>0</v>
      </c>
      <c r="AO26" s="10">
        <v>0</v>
      </c>
      <c r="AP26" s="11">
        <f>AN26+AO26</f>
        <v>0</v>
      </c>
      <c r="AR26" s="12">
        <f>AT22</f>
        <v>0</v>
      </c>
      <c r="AS26" s="10">
        <v>0</v>
      </c>
      <c r="AT26" s="11">
        <f>AR26+AS26</f>
        <v>0</v>
      </c>
      <c r="AV26" s="11">
        <f t="shared" ref="AV26:AX27" si="4">H26+L26+P26+T26+X26+AB26+AF26+AJ26+AR26</f>
        <v>0</v>
      </c>
      <c r="AW26" s="13">
        <f t="shared" si="4"/>
        <v>0</v>
      </c>
      <c r="AX26" s="11">
        <f t="shared" si="4"/>
        <v>0</v>
      </c>
    </row>
    <row r="27" spans="2:50" ht="20" customHeight="1" x14ac:dyDescent="0.35">
      <c r="B27" s="123"/>
      <c r="C27" s="123"/>
      <c r="D27" s="123"/>
      <c r="E27" s="123"/>
      <c r="F27" s="123"/>
      <c r="G27" s="18" t="s">
        <v>93</v>
      </c>
      <c r="H27" s="12">
        <f>J23</f>
        <v>0</v>
      </c>
      <c r="I27" s="10">
        <v>0</v>
      </c>
      <c r="J27" s="11">
        <f>H27+I27</f>
        <v>0</v>
      </c>
      <c r="L27" s="12">
        <f>N23</f>
        <v>0</v>
      </c>
      <c r="M27" s="10">
        <v>0</v>
      </c>
      <c r="N27" s="11">
        <f>L27+M27</f>
        <v>0</v>
      </c>
      <c r="P27" s="12">
        <f>R23</f>
        <v>0</v>
      </c>
      <c r="Q27" s="10">
        <v>0</v>
      </c>
      <c r="R27" s="11">
        <f>P27+Q27</f>
        <v>0</v>
      </c>
      <c r="T27" s="12">
        <f>V23</f>
        <v>0</v>
      </c>
      <c r="U27" s="10">
        <v>0</v>
      </c>
      <c r="V27" s="11">
        <f>T27+U27</f>
        <v>0</v>
      </c>
      <c r="X27" s="12">
        <f>Z23</f>
        <v>0</v>
      </c>
      <c r="Y27" s="10">
        <v>0</v>
      </c>
      <c r="Z27" s="11">
        <f>X27+Y27</f>
        <v>0</v>
      </c>
      <c r="AB27" s="12">
        <f>AD23</f>
        <v>0</v>
      </c>
      <c r="AC27" s="10">
        <v>0</v>
      </c>
      <c r="AD27" s="11">
        <f>AB27+AC27</f>
        <v>0</v>
      </c>
      <c r="AF27" s="12">
        <f>AH23</f>
        <v>0</v>
      </c>
      <c r="AG27" s="10">
        <v>0</v>
      </c>
      <c r="AH27" s="11">
        <f>AF27+AG27</f>
        <v>0</v>
      </c>
      <c r="AJ27" s="12">
        <f>AL23</f>
        <v>0</v>
      </c>
      <c r="AK27" s="10">
        <v>0</v>
      </c>
      <c r="AL27" s="11">
        <f>AJ27+AK27</f>
        <v>0</v>
      </c>
      <c r="AN27" s="12">
        <f>AP23</f>
        <v>0</v>
      </c>
      <c r="AO27" s="10">
        <v>0</v>
      </c>
      <c r="AP27" s="11">
        <f>AN27+AO27</f>
        <v>0</v>
      </c>
      <c r="AR27" s="12">
        <f>AT23</f>
        <v>0</v>
      </c>
      <c r="AS27" s="10">
        <v>0</v>
      </c>
      <c r="AT27" s="11">
        <f>AR27+AS27</f>
        <v>0</v>
      </c>
      <c r="AV27" s="11">
        <f t="shared" si="4"/>
        <v>0</v>
      </c>
      <c r="AW27" s="13">
        <f t="shared" si="4"/>
        <v>0</v>
      </c>
      <c r="AX27" s="11">
        <f t="shared" si="4"/>
        <v>0</v>
      </c>
    </row>
    <row r="28" spans="2:50" ht="18" customHeight="1" x14ac:dyDescent="0.35">
      <c r="B28" s="132" t="s">
        <v>95</v>
      </c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  <c r="AU28" s="123"/>
      <c r="AV28" s="123"/>
      <c r="AW28" s="123"/>
      <c r="AX28" s="123"/>
    </row>
    <row r="29" spans="2:50" ht="6" customHeight="1" x14ac:dyDescent="0.35">
      <c r="B29" s="28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</row>
    <row r="30" spans="2:50" ht="22" customHeight="1" x14ac:dyDescent="0.35">
      <c r="B30" s="136" t="s">
        <v>100</v>
      </c>
      <c r="C30" s="126"/>
      <c r="D30" s="129"/>
      <c r="E30" s="127"/>
      <c r="F30" s="123"/>
      <c r="G30" s="20" t="s">
        <v>91</v>
      </c>
      <c r="H30" s="12">
        <f>J26</f>
        <v>0</v>
      </c>
      <c r="I30" s="10">
        <v>0</v>
      </c>
      <c r="J30" s="11">
        <f>H30+I30</f>
        <v>0</v>
      </c>
      <c r="L30" s="12">
        <f>N26</f>
        <v>0</v>
      </c>
      <c r="M30" s="10">
        <v>0</v>
      </c>
      <c r="N30" s="11">
        <f>L30+M30</f>
        <v>0</v>
      </c>
      <c r="P30" s="12">
        <f>R26</f>
        <v>0</v>
      </c>
      <c r="Q30" s="10">
        <v>0</v>
      </c>
      <c r="R30" s="11">
        <f>P30+Q30</f>
        <v>0</v>
      </c>
      <c r="T30" s="12">
        <f>V26</f>
        <v>0</v>
      </c>
      <c r="U30" s="10">
        <v>0</v>
      </c>
      <c r="V30" s="11">
        <f>T30+U30</f>
        <v>0</v>
      </c>
      <c r="X30" s="12">
        <f>Z26</f>
        <v>0</v>
      </c>
      <c r="Y30" s="10">
        <v>0</v>
      </c>
      <c r="Z30" s="11">
        <f>X30+Y30</f>
        <v>0</v>
      </c>
      <c r="AB30" s="12">
        <f>AD26</f>
        <v>0</v>
      </c>
      <c r="AC30" s="10">
        <v>0</v>
      </c>
      <c r="AD30" s="11">
        <f>AB30+AC30</f>
        <v>0</v>
      </c>
      <c r="AF30" s="12">
        <f>AH26</f>
        <v>0</v>
      </c>
      <c r="AG30" s="10">
        <v>0</v>
      </c>
      <c r="AH30" s="11">
        <f>AF30+AG30</f>
        <v>0</v>
      </c>
      <c r="AJ30" s="12">
        <f>AL26</f>
        <v>0</v>
      </c>
      <c r="AK30" s="10">
        <v>0</v>
      </c>
      <c r="AL30" s="11">
        <f>AJ30+AK30</f>
        <v>0</v>
      </c>
      <c r="AN30" s="12">
        <f>AP26</f>
        <v>0</v>
      </c>
      <c r="AO30" s="10">
        <v>0</v>
      </c>
      <c r="AP30" s="11">
        <f>AN30+AO30</f>
        <v>0</v>
      </c>
      <c r="AR30" s="12">
        <f>AT26</f>
        <v>0</v>
      </c>
      <c r="AS30" s="10">
        <v>0</v>
      </c>
      <c r="AT30" s="11">
        <f>AR30+AS30</f>
        <v>0</v>
      </c>
      <c r="AV30" s="11">
        <f t="shared" ref="AV30:AX31" si="5">H30+L30+P30+T30+X30+AB30+AF30+AJ30+AR30</f>
        <v>0</v>
      </c>
      <c r="AW30" s="13">
        <f t="shared" si="5"/>
        <v>0</v>
      </c>
      <c r="AX30" s="11">
        <f t="shared" si="5"/>
        <v>0</v>
      </c>
    </row>
    <row r="31" spans="2:50" ht="20" customHeight="1" x14ac:dyDescent="0.35">
      <c r="B31" s="123"/>
      <c r="C31" s="123"/>
      <c r="D31" s="123"/>
      <c r="E31" s="123"/>
      <c r="F31" s="123"/>
      <c r="G31" s="18" t="s">
        <v>93</v>
      </c>
      <c r="H31" s="12">
        <f>J27</f>
        <v>0</v>
      </c>
      <c r="I31" s="10">
        <v>0</v>
      </c>
      <c r="J31" s="11">
        <f>H31+I31</f>
        <v>0</v>
      </c>
      <c r="L31" s="12">
        <f>N27</f>
        <v>0</v>
      </c>
      <c r="M31" s="10">
        <v>0</v>
      </c>
      <c r="N31" s="11">
        <f>L31+M31</f>
        <v>0</v>
      </c>
      <c r="P31" s="12">
        <f>R27</f>
        <v>0</v>
      </c>
      <c r="Q31" s="10">
        <v>0</v>
      </c>
      <c r="R31" s="11">
        <f>P31+Q31</f>
        <v>0</v>
      </c>
      <c r="T31" s="12">
        <f>V27</f>
        <v>0</v>
      </c>
      <c r="U31" s="10">
        <v>0</v>
      </c>
      <c r="V31" s="11">
        <f>T31+U31</f>
        <v>0</v>
      </c>
      <c r="X31" s="12">
        <f>Z27</f>
        <v>0</v>
      </c>
      <c r="Y31" s="10">
        <v>0</v>
      </c>
      <c r="Z31" s="11">
        <f>X31+Y31</f>
        <v>0</v>
      </c>
      <c r="AB31" s="12">
        <f>AD27</f>
        <v>0</v>
      </c>
      <c r="AC31" s="10">
        <v>0</v>
      </c>
      <c r="AD31" s="11">
        <f>AB31+AC31</f>
        <v>0</v>
      </c>
      <c r="AF31" s="12">
        <f>AH27</f>
        <v>0</v>
      </c>
      <c r="AG31" s="10">
        <v>0</v>
      </c>
      <c r="AH31" s="11">
        <f>AF31+AG31</f>
        <v>0</v>
      </c>
      <c r="AJ31" s="12">
        <f>AL27</f>
        <v>0</v>
      </c>
      <c r="AK31" s="10">
        <v>0</v>
      </c>
      <c r="AL31" s="11">
        <f>AJ31+AK31</f>
        <v>0</v>
      </c>
      <c r="AN31" s="12">
        <f>AP27</f>
        <v>0</v>
      </c>
      <c r="AO31" s="10">
        <v>0</v>
      </c>
      <c r="AP31" s="11">
        <f>AN31+AO31</f>
        <v>0</v>
      </c>
      <c r="AR31" s="12">
        <f>AT27</f>
        <v>0</v>
      </c>
      <c r="AS31" s="10">
        <v>0</v>
      </c>
      <c r="AT31" s="11">
        <f>AR31+AS31</f>
        <v>0</v>
      </c>
      <c r="AV31" s="11">
        <f t="shared" si="5"/>
        <v>0</v>
      </c>
      <c r="AW31" s="13">
        <f t="shared" si="5"/>
        <v>0</v>
      </c>
      <c r="AX31" s="11">
        <f t="shared" si="5"/>
        <v>0</v>
      </c>
    </row>
    <row r="32" spans="2:50" ht="18" customHeight="1" x14ac:dyDescent="0.35">
      <c r="B32" s="148" t="s">
        <v>95</v>
      </c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</row>
    <row r="33" spans="1:50" ht="6" customHeight="1" x14ac:dyDescent="0.35"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</row>
    <row r="34" spans="1:50" ht="26" customHeight="1" x14ac:dyDescent="0.35">
      <c r="B34" s="156" t="s">
        <v>101</v>
      </c>
      <c r="C34" s="126"/>
      <c r="D34" s="129" t="s">
        <v>102</v>
      </c>
      <c r="E34" s="127" t="s">
        <v>103</v>
      </c>
      <c r="F34" s="131"/>
      <c r="G34" s="21" t="s">
        <v>91</v>
      </c>
      <c r="H34" s="12">
        <f>J30</f>
        <v>0</v>
      </c>
      <c r="I34" s="10">
        <v>0</v>
      </c>
      <c r="J34" s="11">
        <f>H34+I34</f>
        <v>0</v>
      </c>
      <c r="L34" s="29">
        <f>N30</f>
        <v>0</v>
      </c>
      <c r="M34" s="30">
        <v>0</v>
      </c>
      <c r="N34" s="31">
        <f>L34+M34</f>
        <v>0</v>
      </c>
      <c r="P34" s="29">
        <f>R30</f>
        <v>0</v>
      </c>
      <c r="Q34" s="30">
        <v>0</v>
      </c>
      <c r="R34" s="31">
        <f>P34+Q34</f>
        <v>0</v>
      </c>
      <c r="T34" s="29">
        <f>V30</f>
        <v>0</v>
      </c>
      <c r="U34" s="30">
        <v>0</v>
      </c>
      <c r="V34" s="31">
        <f>T34+U34</f>
        <v>0</v>
      </c>
      <c r="X34" s="29">
        <f>Z30</f>
        <v>0</v>
      </c>
      <c r="Y34" s="30">
        <v>0</v>
      </c>
      <c r="Z34" s="31">
        <f>X34+Y34</f>
        <v>0</v>
      </c>
      <c r="AB34" s="29">
        <f>AD30</f>
        <v>0</v>
      </c>
      <c r="AC34" s="30">
        <v>0</v>
      </c>
      <c r="AD34" s="31">
        <f>AB34+AC34</f>
        <v>0</v>
      </c>
      <c r="AF34" s="29">
        <f>AH30</f>
        <v>0</v>
      </c>
      <c r="AG34" s="30">
        <v>0</v>
      </c>
      <c r="AH34" s="31">
        <f>AF34+AG34</f>
        <v>0</v>
      </c>
      <c r="AJ34" s="29">
        <f>AL30</f>
        <v>0</v>
      </c>
      <c r="AK34" s="30">
        <v>0</v>
      </c>
      <c r="AL34" s="31">
        <f>AJ34+AK34</f>
        <v>0</v>
      </c>
      <c r="AN34" s="29">
        <f>AP30</f>
        <v>0</v>
      </c>
      <c r="AO34" s="30">
        <v>0</v>
      </c>
      <c r="AP34" s="31">
        <f>AN34+AO34</f>
        <v>0</v>
      </c>
      <c r="AR34" s="29">
        <f>AT30</f>
        <v>0</v>
      </c>
      <c r="AS34" s="30">
        <v>0</v>
      </c>
      <c r="AT34" s="31">
        <f>AR34+AS34</f>
        <v>0</v>
      </c>
      <c r="AV34" s="31">
        <f t="shared" ref="AV34:AX35" si="6">H34+L34+P34+T34+X34+AB34+AF34+AJ34+AR34</f>
        <v>0</v>
      </c>
      <c r="AW34" s="33">
        <f t="shared" si="6"/>
        <v>0</v>
      </c>
      <c r="AX34" s="31">
        <f t="shared" si="6"/>
        <v>0</v>
      </c>
    </row>
    <row r="35" spans="1:50" ht="31" customHeight="1" x14ac:dyDescent="0.35">
      <c r="B35" s="163"/>
      <c r="C35" s="145"/>
      <c r="D35" s="145"/>
      <c r="E35" s="145"/>
      <c r="F35" s="145"/>
      <c r="G35" s="34" t="s">
        <v>93</v>
      </c>
      <c r="H35" s="35">
        <f>J31</f>
        <v>0</v>
      </c>
      <c r="I35" s="36">
        <v>0</v>
      </c>
      <c r="J35" s="37">
        <f>H35+I35</f>
        <v>0</v>
      </c>
      <c r="L35" s="35">
        <f>N31</f>
        <v>0</v>
      </c>
      <c r="M35" s="36">
        <v>0</v>
      </c>
      <c r="N35" s="37">
        <f>L35+M35</f>
        <v>0</v>
      </c>
      <c r="P35" s="35">
        <f>R31</f>
        <v>0</v>
      </c>
      <c r="Q35" s="36"/>
      <c r="R35" s="37">
        <f>P35+Q35</f>
        <v>0</v>
      </c>
      <c r="T35" s="35">
        <f>V31</f>
        <v>0</v>
      </c>
      <c r="U35" s="36">
        <v>0</v>
      </c>
      <c r="V35" s="37">
        <f>T35+U35</f>
        <v>0</v>
      </c>
      <c r="X35" s="35">
        <f>Z31</f>
        <v>0</v>
      </c>
      <c r="Y35" s="36">
        <v>0</v>
      </c>
      <c r="Z35" s="37">
        <f>X35+Y35</f>
        <v>0</v>
      </c>
      <c r="AB35" s="35">
        <f>AD31</f>
        <v>0</v>
      </c>
      <c r="AC35" s="36">
        <v>0</v>
      </c>
      <c r="AD35" s="37">
        <f>AB35+AC35</f>
        <v>0</v>
      </c>
      <c r="AF35" s="35">
        <f>AH31</f>
        <v>0</v>
      </c>
      <c r="AG35" s="36">
        <v>0</v>
      </c>
      <c r="AH35" s="37">
        <f>AF35+AG35</f>
        <v>0</v>
      </c>
      <c r="AJ35" s="35">
        <f>AL31</f>
        <v>0</v>
      </c>
      <c r="AK35" s="36">
        <v>0</v>
      </c>
      <c r="AL35" s="37">
        <f>AJ35+AK35</f>
        <v>0</v>
      </c>
      <c r="AN35" s="35">
        <f>AP31</f>
        <v>0</v>
      </c>
      <c r="AO35" s="36">
        <v>0</v>
      </c>
      <c r="AP35" s="37">
        <f>AN35+AO35</f>
        <v>0</v>
      </c>
      <c r="AR35" s="35">
        <f>AT31</f>
        <v>0</v>
      </c>
      <c r="AS35" s="36">
        <v>0</v>
      </c>
      <c r="AT35" s="37">
        <f>AR35+AS35</f>
        <v>0</v>
      </c>
      <c r="AV35" s="37">
        <f t="shared" si="6"/>
        <v>0</v>
      </c>
      <c r="AW35" s="38">
        <f t="shared" si="6"/>
        <v>0</v>
      </c>
      <c r="AX35" s="37">
        <f t="shared" si="6"/>
        <v>0</v>
      </c>
    </row>
    <row r="36" spans="1:50" ht="19" customHeight="1" x14ac:dyDescent="0.35">
      <c r="B36" s="132" t="s">
        <v>95</v>
      </c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</row>
    <row r="37" spans="1:50" ht="7" customHeight="1" x14ac:dyDescent="0.35"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</row>
    <row r="38" spans="1:50" ht="22" customHeight="1" x14ac:dyDescent="0.35">
      <c r="B38" s="162" t="s">
        <v>104</v>
      </c>
      <c r="C38" s="126"/>
      <c r="D38" s="129" t="s">
        <v>105</v>
      </c>
      <c r="E38" s="127" t="s">
        <v>106</v>
      </c>
      <c r="F38" s="131"/>
      <c r="G38" s="24" t="s">
        <v>91</v>
      </c>
      <c r="H38" s="12"/>
      <c r="I38" s="10">
        <v>593717.36</v>
      </c>
      <c r="J38" s="11">
        <f>H38+I38</f>
        <v>593717.36</v>
      </c>
      <c r="L38" s="29">
        <f>N34</f>
        <v>0</v>
      </c>
      <c r="M38" s="30">
        <v>727970.79</v>
      </c>
      <c r="N38" s="31">
        <f>L38+M38</f>
        <v>727970.79</v>
      </c>
      <c r="P38" s="29">
        <f>R34</f>
        <v>0</v>
      </c>
      <c r="Q38" s="30">
        <v>869923.61</v>
      </c>
      <c r="R38" s="31">
        <f>P38+Q38</f>
        <v>869923.61</v>
      </c>
      <c r="T38" s="29">
        <f>V34</f>
        <v>0</v>
      </c>
      <c r="U38" s="30">
        <v>688014.82</v>
      </c>
      <c r="V38" s="31">
        <f>T38+U38</f>
        <v>688014.82</v>
      </c>
      <c r="X38" s="29">
        <f>Z34</f>
        <v>0</v>
      </c>
      <c r="Y38" s="30">
        <v>33772.5</v>
      </c>
      <c r="Z38" s="31">
        <f>X38+Y38</f>
        <v>33772.5</v>
      </c>
      <c r="AB38" s="29">
        <f>AD34</f>
        <v>0</v>
      </c>
      <c r="AC38" s="30">
        <v>199225.60000000001</v>
      </c>
      <c r="AD38" s="31">
        <f>AB38+AC38</f>
        <v>199225.60000000001</v>
      </c>
      <c r="AF38" s="29">
        <f>AH34</f>
        <v>0</v>
      </c>
      <c r="AG38" s="30">
        <v>268485.99</v>
      </c>
      <c r="AH38" s="31">
        <f>AF38+AG38</f>
        <v>268485.99</v>
      </c>
      <c r="AJ38" s="29">
        <f>AL34</f>
        <v>0</v>
      </c>
      <c r="AK38" s="30">
        <v>132000</v>
      </c>
      <c r="AL38" s="31">
        <f>AJ38+AK38</f>
        <v>132000</v>
      </c>
      <c r="AN38" s="29">
        <f>AP34</f>
        <v>0</v>
      </c>
      <c r="AO38" s="30">
        <v>10144</v>
      </c>
      <c r="AP38" s="31">
        <f>AN38+AO38</f>
        <v>10144</v>
      </c>
      <c r="AR38" s="29">
        <f>AT34</f>
        <v>0</v>
      </c>
      <c r="AS38" s="30">
        <v>10144</v>
      </c>
      <c r="AT38" s="31">
        <f>AR38+AS38</f>
        <v>10144</v>
      </c>
      <c r="AV38" s="31">
        <f t="shared" ref="AV38:AX39" si="7">H38+L38+P38+T38+X38+AB38+AF38+AJ38+AR38</f>
        <v>0</v>
      </c>
      <c r="AW38" s="33">
        <f t="shared" si="7"/>
        <v>3523254.67</v>
      </c>
      <c r="AX38" s="31">
        <f t="shared" si="7"/>
        <v>3523254.67</v>
      </c>
    </row>
    <row r="39" spans="1:50" ht="33" customHeight="1" x14ac:dyDescent="0.35">
      <c r="B39" s="131"/>
      <c r="C39" s="131"/>
      <c r="D39" s="131"/>
      <c r="E39" s="131"/>
      <c r="F39" s="131"/>
      <c r="G39" s="34" t="s">
        <v>93</v>
      </c>
      <c r="H39" s="35">
        <f>J35</f>
        <v>0</v>
      </c>
      <c r="I39" s="36">
        <v>98952.89</v>
      </c>
      <c r="J39" s="37">
        <f>H39+I39</f>
        <v>98952.89</v>
      </c>
      <c r="L39" s="35">
        <f>N35</f>
        <v>0</v>
      </c>
      <c r="M39" s="36">
        <v>151660.57999999999</v>
      </c>
      <c r="N39" s="37">
        <f>L39+M39</f>
        <v>151660.57999999999</v>
      </c>
      <c r="P39" s="35">
        <f>R35</f>
        <v>0</v>
      </c>
      <c r="Q39" s="36">
        <v>181234.09</v>
      </c>
      <c r="R39" s="37">
        <f>P39+Q39</f>
        <v>181234.09</v>
      </c>
      <c r="T39" s="35">
        <f>V35</f>
        <v>0</v>
      </c>
      <c r="U39" s="36">
        <v>114669.14</v>
      </c>
      <c r="V39" s="37">
        <f>T39+U39</f>
        <v>114669.14</v>
      </c>
      <c r="X39" s="35">
        <f>Z35</f>
        <v>0</v>
      </c>
      <c r="Y39" s="36">
        <v>5628.75</v>
      </c>
      <c r="Z39" s="37">
        <f>X39+Y39</f>
        <v>5628.75</v>
      </c>
      <c r="AB39" s="35">
        <f>AD35</f>
        <v>0</v>
      </c>
      <c r="AC39" s="36">
        <v>33204.269999999997</v>
      </c>
      <c r="AD39" s="37">
        <f>AB39+AC39</f>
        <v>33204.269999999997</v>
      </c>
      <c r="AF39" s="35">
        <f>AH35</f>
        <v>0</v>
      </c>
      <c r="AG39" s="36">
        <v>268485.99</v>
      </c>
      <c r="AH39" s="37">
        <f>AF39+AG39</f>
        <v>268485.99</v>
      </c>
      <c r="AJ39" s="35">
        <f>AL35</f>
        <v>0</v>
      </c>
      <c r="AK39" s="36">
        <v>22000</v>
      </c>
      <c r="AL39" s="37">
        <f>AJ39+AK39</f>
        <v>22000</v>
      </c>
      <c r="AN39" s="35">
        <f>AP35</f>
        <v>0</v>
      </c>
      <c r="AO39" s="36">
        <v>1690.66</v>
      </c>
      <c r="AP39" s="37">
        <f>AN39+AO39</f>
        <v>1690.66</v>
      </c>
      <c r="AR39" s="35">
        <f>AT35</f>
        <v>0</v>
      </c>
      <c r="AS39" s="36">
        <v>1690.66</v>
      </c>
      <c r="AT39" s="37">
        <f>AR39+AS39</f>
        <v>1690.66</v>
      </c>
      <c r="AV39" s="37">
        <f t="shared" si="7"/>
        <v>0</v>
      </c>
      <c r="AW39" s="38">
        <f t="shared" si="7"/>
        <v>877526.37</v>
      </c>
      <c r="AX39" s="37">
        <f t="shared" si="7"/>
        <v>877526.37</v>
      </c>
    </row>
    <row r="40" spans="1:50" s="39" customFormat="1" ht="18" customHeight="1" x14ac:dyDescent="0.35">
      <c r="A40"/>
      <c r="B40" s="132" t="s">
        <v>95</v>
      </c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</row>
    <row r="41" spans="1:50" ht="6" customHeight="1" x14ac:dyDescent="0.35"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</row>
    <row r="42" spans="1:50" ht="22" customHeight="1" x14ac:dyDescent="0.35">
      <c r="B42" s="130" t="s">
        <v>107</v>
      </c>
      <c r="C42" s="126"/>
      <c r="D42" s="129" t="s">
        <v>102</v>
      </c>
      <c r="E42" s="127" t="s">
        <v>108</v>
      </c>
      <c r="F42" s="131"/>
      <c r="G42" s="18" t="s">
        <v>91</v>
      </c>
      <c r="H42" s="12">
        <f>J38</f>
        <v>593717.36</v>
      </c>
      <c r="I42" s="10">
        <v>0</v>
      </c>
      <c r="J42" s="11">
        <f>H42+I42</f>
        <v>593717.36</v>
      </c>
      <c r="L42" s="12">
        <f>N38</f>
        <v>727970.79</v>
      </c>
      <c r="M42" s="10">
        <v>0</v>
      </c>
      <c r="N42" s="11">
        <f>L42+M42</f>
        <v>727970.79</v>
      </c>
      <c r="P42" s="12">
        <f>R38</f>
        <v>869923.61</v>
      </c>
      <c r="Q42" s="10">
        <v>0</v>
      </c>
      <c r="R42" s="11">
        <f>P42+Q42</f>
        <v>869923.61</v>
      </c>
      <c r="T42" s="29">
        <f>V38</f>
        <v>688014.82</v>
      </c>
      <c r="U42" s="30">
        <v>0</v>
      </c>
      <c r="V42" s="31">
        <f>T42+U42</f>
        <v>688014.82</v>
      </c>
      <c r="X42" s="29">
        <f>Z38</f>
        <v>33772.5</v>
      </c>
      <c r="Y42" s="30">
        <v>0</v>
      </c>
      <c r="Z42" s="31">
        <f>X42+Y42</f>
        <v>33772.5</v>
      </c>
      <c r="AB42" s="29">
        <f>AD38</f>
        <v>199225.60000000001</v>
      </c>
      <c r="AC42" s="30">
        <v>0</v>
      </c>
      <c r="AD42" s="31">
        <f>AB42+AC42</f>
        <v>199225.60000000001</v>
      </c>
      <c r="AF42" s="29">
        <f>AH38</f>
        <v>268485.99</v>
      </c>
      <c r="AG42" s="30">
        <v>0</v>
      </c>
      <c r="AH42" s="31">
        <f>AF42+AG42</f>
        <v>268485.99</v>
      </c>
      <c r="AJ42" s="29">
        <f>AL38</f>
        <v>132000</v>
      </c>
      <c r="AK42" s="30">
        <v>0</v>
      </c>
      <c r="AL42" s="31">
        <f>AJ42+AK42</f>
        <v>132000</v>
      </c>
      <c r="AN42" s="29">
        <f>AP38</f>
        <v>10144</v>
      </c>
      <c r="AO42" s="30">
        <v>0</v>
      </c>
      <c r="AP42" s="31">
        <f>AN42+AO42</f>
        <v>10144</v>
      </c>
      <c r="AR42" s="29">
        <f>AT38</f>
        <v>10144</v>
      </c>
      <c r="AS42" s="30">
        <v>0</v>
      </c>
      <c r="AT42" s="31">
        <f>AR42+AS42</f>
        <v>10144</v>
      </c>
      <c r="AV42" s="31">
        <f t="shared" ref="AV42:AX43" si="8">H42+L42+P42+T42+X42+AB42+AF42+AJ42+AR42</f>
        <v>3523254.67</v>
      </c>
      <c r="AW42" s="33">
        <f t="shared" si="8"/>
        <v>0</v>
      </c>
      <c r="AX42" s="31">
        <f t="shared" si="8"/>
        <v>3523254.67</v>
      </c>
    </row>
    <row r="43" spans="1:50" ht="20" customHeight="1" x14ac:dyDescent="0.35">
      <c r="B43" s="131"/>
      <c r="C43" s="131"/>
      <c r="D43" s="131"/>
      <c r="E43" s="131"/>
      <c r="F43" s="131"/>
      <c r="G43" s="34" t="s">
        <v>93</v>
      </c>
      <c r="H43" s="35">
        <f>J39</f>
        <v>98952.89</v>
      </c>
      <c r="I43" s="36">
        <v>333966.02</v>
      </c>
      <c r="J43" s="37">
        <f>H43+I43</f>
        <v>432918.91000000003</v>
      </c>
      <c r="L43" s="35">
        <f>N39</f>
        <v>151660.57999999999</v>
      </c>
      <c r="M43" s="36">
        <v>409483.57</v>
      </c>
      <c r="N43" s="37">
        <f>L43+M43</f>
        <v>561144.15</v>
      </c>
      <c r="P43" s="35">
        <f>R39</f>
        <v>181234.09</v>
      </c>
      <c r="Q43" s="36">
        <v>489332.03</v>
      </c>
      <c r="R43" s="37">
        <f>P43+Q43</f>
        <v>670566.12</v>
      </c>
      <c r="T43" s="35">
        <f>V39</f>
        <v>114669.14</v>
      </c>
      <c r="U43" s="36">
        <v>387008.33</v>
      </c>
      <c r="V43" s="37">
        <f>T43+U43</f>
        <v>501677.47000000003</v>
      </c>
      <c r="X43" s="35">
        <f>Z39</f>
        <v>5628.75</v>
      </c>
      <c r="Y43" s="36">
        <v>18997.03</v>
      </c>
      <c r="Z43" s="37">
        <f>X43+Y43</f>
        <v>24625.78</v>
      </c>
      <c r="AB43" s="35">
        <f>AD39</f>
        <v>33204.269999999997</v>
      </c>
      <c r="AC43" s="36">
        <v>112064.4</v>
      </c>
      <c r="AD43" s="37">
        <f>AB43+AC43</f>
        <v>145268.66999999998</v>
      </c>
      <c r="AF43" s="35">
        <f>AH39</f>
        <v>268485.99</v>
      </c>
      <c r="AG43" s="36">
        <v>0</v>
      </c>
      <c r="AH43" s="37">
        <f>AF43+AG43</f>
        <v>268485.99</v>
      </c>
      <c r="AJ43" s="35">
        <f>AL39</f>
        <v>22000</v>
      </c>
      <c r="AK43" s="36">
        <v>38486.239999999998</v>
      </c>
      <c r="AL43" s="37">
        <f>AJ43+AK43</f>
        <v>60486.239999999998</v>
      </c>
      <c r="AN43" s="35">
        <f>AP39</f>
        <v>1690.66</v>
      </c>
      <c r="AO43" s="36">
        <v>3309.33</v>
      </c>
      <c r="AP43" s="37">
        <f>AN43+AO43</f>
        <v>4999.99</v>
      </c>
      <c r="AR43" s="35">
        <f>AT39</f>
        <v>1690.66</v>
      </c>
      <c r="AS43" s="36">
        <v>3309.33</v>
      </c>
      <c r="AT43" s="37">
        <f>AR43+AS43</f>
        <v>4999.99</v>
      </c>
      <c r="AV43" s="37">
        <f t="shared" si="8"/>
        <v>877526.37</v>
      </c>
      <c r="AW43" s="38">
        <f t="shared" si="8"/>
        <v>1792646.9500000002</v>
      </c>
      <c r="AX43" s="37">
        <f t="shared" si="8"/>
        <v>2670173.3200000003</v>
      </c>
    </row>
    <row r="44" spans="1:50" s="39" customFormat="1" ht="18" customHeight="1" x14ac:dyDescent="0.35">
      <c r="A44"/>
      <c r="B44" s="132" t="s">
        <v>95</v>
      </c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</row>
    <row r="45" spans="1:50" ht="6" customHeight="1" x14ac:dyDescent="0.35"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</row>
    <row r="46" spans="1:50" ht="22" customHeight="1" x14ac:dyDescent="0.35">
      <c r="B46" s="133" t="s">
        <v>109</v>
      </c>
      <c r="C46" s="126"/>
      <c r="D46" s="129"/>
      <c r="E46" s="127"/>
      <c r="F46" s="131"/>
      <c r="G46" s="22" t="s">
        <v>91</v>
      </c>
      <c r="H46" s="12">
        <f>J42</f>
        <v>593717.36</v>
      </c>
      <c r="I46" s="10">
        <v>0</v>
      </c>
      <c r="J46" s="11">
        <f>H46+I46</f>
        <v>593717.36</v>
      </c>
      <c r="L46" s="29">
        <f>N42</f>
        <v>727970.79</v>
      </c>
      <c r="M46" s="30">
        <v>0</v>
      </c>
      <c r="N46" s="31">
        <f>L46+M46</f>
        <v>727970.79</v>
      </c>
      <c r="P46" s="29">
        <f>R42</f>
        <v>869923.61</v>
      </c>
      <c r="Q46" s="30">
        <v>0</v>
      </c>
      <c r="R46" s="31">
        <f>P46+Q46</f>
        <v>869923.61</v>
      </c>
      <c r="T46" s="29">
        <f>V42</f>
        <v>688014.82</v>
      </c>
      <c r="U46" s="30">
        <v>0</v>
      </c>
      <c r="V46" s="31">
        <f>T46+U46</f>
        <v>688014.82</v>
      </c>
      <c r="X46" s="29">
        <f>Z42</f>
        <v>33772.5</v>
      </c>
      <c r="Y46" s="30">
        <v>0</v>
      </c>
      <c r="Z46" s="31">
        <f>X46+Y46</f>
        <v>33772.5</v>
      </c>
      <c r="AB46" s="29">
        <f>AD42</f>
        <v>199225.60000000001</v>
      </c>
      <c r="AC46" s="30">
        <v>0</v>
      </c>
      <c r="AD46" s="31">
        <f>AB46+AC46</f>
        <v>199225.60000000001</v>
      </c>
      <c r="AF46" s="29">
        <f>AH42</f>
        <v>268485.99</v>
      </c>
      <c r="AG46" s="30">
        <v>0</v>
      </c>
      <c r="AH46" s="31">
        <f>AF46+AG46</f>
        <v>268485.99</v>
      </c>
      <c r="AJ46" s="29">
        <f>AL42</f>
        <v>132000</v>
      </c>
      <c r="AK46" s="30">
        <v>0</v>
      </c>
      <c r="AL46" s="31">
        <f>AJ46+AK46</f>
        <v>132000</v>
      </c>
      <c r="AN46" s="29">
        <f>AP42</f>
        <v>10144</v>
      </c>
      <c r="AO46" s="30">
        <v>0</v>
      </c>
      <c r="AP46" s="31">
        <f>AN46+AO46</f>
        <v>10144</v>
      </c>
      <c r="AR46" s="29">
        <f>AT42</f>
        <v>10144</v>
      </c>
      <c r="AS46" s="30">
        <v>0</v>
      </c>
      <c r="AT46" s="31">
        <f>AR46+AS46</f>
        <v>10144</v>
      </c>
      <c r="AV46" s="31">
        <f t="shared" ref="AV46:AX47" si="9">H46+L46+P46+T46+X46+AB46+AF46+AJ46+AR46</f>
        <v>3523254.67</v>
      </c>
      <c r="AW46" s="33">
        <f t="shared" si="9"/>
        <v>0</v>
      </c>
      <c r="AX46" s="31">
        <f t="shared" si="9"/>
        <v>3523254.67</v>
      </c>
    </row>
    <row r="47" spans="1:50" ht="20" customHeight="1" x14ac:dyDescent="0.35">
      <c r="B47" s="163"/>
      <c r="C47" s="145"/>
      <c r="D47" s="145"/>
      <c r="E47" s="145"/>
      <c r="F47" s="145"/>
      <c r="G47" s="34" t="s">
        <v>93</v>
      </c>
      <c r="H47" s="35">
        <f>J43</f>
        <v>432918.91000000003</v>
      </c>
      <c r="I47" s="36">
        <v>0</v>
      </c>
      <c r="J47" s="37">
        <f>H47+I47</f>
        <v>432918.91000000003</v>
      </c>
      <c r="L47" s="35">
        <f>N43</f>
        <v>561144.15</v>
      </c>
      <c r="M47" s="36">
        <v>0</v>
      </c>
      <c r="N47" s="37">
        <f>L47+M47</f>
        <v>561144.15</v>
      </c>
      <c r="P47" s="35">
        <f>R43</f>
        <v>670566.12</v>
      </c>
      <c r="Q47" s="36">
        <v>0</v>
      </c>
      <c r="R47" s="37">
        <f>P47+Q47</f>
        <v>670566.12</v>
      </c>
      <c r="T47" s="35">
        <f>V43</f>
        <v>501677.47000000003</v>
      </c>
      <c r="U47" s="36">
        <v>0</v>
      </c>
      <c r="V47" s="37">
        <f>T47+U47</f>
        <v>501677.47000000003</v>
      </c>
      <c r="X47" s="35">
        <f>Z43</f>
        <v>24625.78</v>
      </c>
      <c r="Y47" s="36">
        <v>0</v>
      </c>
      <c r="Z47" s="37">
        <f>X47+Y47</f>
        <v>24625.78</v>
      </c>
      <c r="AB47" s="35">
        <f>AD43</f>
        <v>145268.66999999998</v>
      </c>
      <c r="AC47" s="36">
        <v>0</v>
      </c>
      <c r="AD47" s="37">
        <f>AB47+AC47</f>
        <v>145268.66999999998</v>
      </c>
      <c r="AF47" s="35">
        <f>AH43</f>
        <v>268485.99</v>
      </c>
      <c r="AG47" s="36">
        <v>0</v>
      </c>
      <c r="AH47" s="37">
        <f>AF47+AG47</f>
        <v>268485.99</v>
      </c>
      <c r="AJ47" s="35">
        <f>AL43</f>
        <v>60486.239999999998</v>
      </c>
      <c r="AK47" s="36">
        <v>0</v>
      </c>
      <c r="AL47" s="37">
        <f>AJ47+AK47</f>
        <v>60486.239999999998</v>
      </c>
      <c r="AN47" s="35">
        <f>AP43</f>
        <v>4999.99</v>
      </c>
      <c r="AO47" s="36">
        <v>0</v>
      </c>
      <c r="AP47" s="37">
        <f>AN47+AO47</f>
        <v>4999.99</v>
      </c>
      <c r="AR47" s="35">
        <f>AT43</f>
        <v>4999.99</v>
      </c>
      <c r="AS47" s="36">
        <v>0</v>
      </c>
      <c r="AT47" s="37">
        <f>AR47+AS47</f>
        <v>4999.99</v>
      </c>
      <c r="AV47" s="37">
        <f t="shared" si="9"/>
        <v>2670173.3200000003</v>
      </c>
      <c r="AW47" s="38">
        <f t="shared" si="9"/>
        <v>0</v>
      </c>
      <c r="AX47" s="37">
        <f t="shared" si="9"/>
        <v>2670173.3200000003</v>
      </c>
    </row>
    <row r="48" spans="1:50" ht="18" customHeight="1" x14ac:dyDescent="0.35">
      <c r="B48" s="132" t="s">
        <v>95</v>
      </c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</row>
    <row r="49" spans="2:50" ht="6" customHeight="1" x14ac:dyDescent="0.35"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</row>
    <row r="50" spans="2:50" ht="22" customHeight="1" x14ac:dyDescent="0.35">
      <c r="B50" s="153" t="s">
        <v>110</v>
      </c>
      <c r="C50" s="126"/>
      <c r="D50" s="129"/>
      <c r="E50" s="127"/>
      <c r="F50" s="131"/>
      <c r="G50" s="25" t="s">
        <v>91</v>
      </c>
      <c r="H50" s="12">
        <f>J46</f>
        <v>593717.36</v>
      </c>
      <c r="I50" s="10">
        <v>0</v>
      </c>
      <c r="J50" s="11">
        <f>H50+I50</f>
        <v>593717.36</v>
      </c>
      <c r="L50" s="29">
        <f>N46</f>
        <v>727970.79</v>
      </c>
      <c r="M50" s="30">
        <v>0</v>
      </c>
      <c r="N50" s="31">
        <f>L50+M50</f>
        <v>727970.79</v>
      </c>
      <c r="P50" s="29">
        <f>R46</f>
        <v>869923.61</v>
      </c>
      <c r="Q50" s="30">
        <v>0</v>
      </c>
      <c r="R50" s="31">
        <f>P50+Q50</f>
        <v>869923.61</v>
      </c>
      <c r="T50" s="29">
        <f>V46</f>
        <v>688014.82</v>
      </c>
      <c r="U50" s="30">
        <v>0</v>
      </c>
      <c r="V50" s="31">
        <f>T50+U50</f>
        <v>688014.82</v>
      </c>
      <c r="X50" s="29">
        <f>Z46</f>
        <v>33772.5</v>
      </c>
      <c r="Y50" s="30">
        <v>0</v>
      </c>
      <c r="Z50" s="31">
        <f>X50+Y50</f>
        <v>33772.5</v>
      </c>
      <c r="AB50" s="29">
        <f>AD46</f>
        <v>199225.60000000001</v>
      </c>
      <c r="AC50" s="30">
        <v>0</v>
      </c>
      <c r="AD50" s="31">
        <f>AB50+AC50</f>
        <v>199225.60000000001</v>
      </c>
      <c r="AF50" s="29">
        <f>AH46</f>
        <v>268485.99</v>
      </c>
      <c r="AG50" s="30">
        <v>0</v>
      </c>
      <c r="AH50" s="31">
        <f>AF50+AG50</f>
        <v>268485.99</v>
      </c>
      <c r="AJ50" s="29">
        <f>AL46</f>
        <v>132000</v>
      </c>
      <c r="AK50" s="30">
        <v>0</v>
      </c>
      <c r="AL50" s="31">
        <f>AJ50+AK50</f>
        <v>132000</v>
      </c>
      <c r="AN50" s="29">
        <f>AP46</f>
        <v>10144</v>
      </c>
      <c r="AO50" s="30">
        <v>0</v>
      </c>
      <c r="AP50" s="31">
        <f>AN50+AO50</f>
        <v>10144</v>
      </c>
      <c r="AR50" s="29">
        <f>AT46</f>
        <v>10144</v>
      </c>
      <c r="AS50" s="30">
        <v>0</v>
      </c>
      <c r="AT50" s="31">
        <f>AR50+AS50</f>
        <v>10144</v>
      </c>
      <c r="AV50" s="31">
        <f t="shared" ref="AV50:AX51" si="10">H50+L50+P50+T50+X50+AB50+AF50+AJ50+AR50</f>
        <v>3523254.67</v>
      </c>
      <c r="AW50" s="33">
        <f t="shared" si="10"/>
        <v>0</v>
      </c>
      <c r="AX50" s="31">
        <f t="shared" si="10"/>
        <v>3523254.67</v>
      </c>
    </row>
    <row r="51" spans="2:50" ht="20" customHeight="1" x14ac:dyDescent="0.35">
      <c r="B51" s="108"/>
      <c r="C51" s="131"/>
      <c r="D51" s="131"/>
      <c r="E51" s="131"/>
      <c r="F51" s="131"/>
      <c r="G51" s="18" t="s">
        <v>93</v>
      </c>
      <c r="H51" s="12">
        <f>J47</f>
        <v>432918.91000000003</v>
      </c>
      <c r="I51" s="10">
        <v>0</v>
      </c>
      <c r="J51" s="11">
        <f>H51+I51</f>
        <v>432918.91000000003</v>
      </c>
      <c r="L51" s="12">
        <f>N47</f>
        <v>561144.15</v>
      </c>
      <c r="M51" s="10">
        <v>0</v>
      </c>
      <c r="N51" s="11">
        <f>L51+M51</f>
        <v>561144.15</v>
      </c>
      <c r="P51" s="12">
        <f>R47</f>
        <v>670566.12</v>
      </c>
      <c r="Q51" s="10">
        <v>0</v>
      </c>
      <c r="R51" s="11">
        <f>P51+Q51</f>
        <v>670566.12</v>
      </c>
      <c r="T51" s="12">
        <f>V47</f>
        <v>501677.47000000003</v>
      </c>
      <c r="U51" s="10">
        <v>0</v>
      </c>
      <c r="V51" s="11">
        <f>T51+U51</f>
        <v>501677.47000000003</v>
      </c>
      <c r="X51" s="12">
        <f>Z47</f>
        <v>24625.78</v>
      </c>
      <c r="Y51" s="10">
        <v>0</v>
      </c>
      <c r="Z51" s="11">
        <f>X51+Y51</f>
        <v>24625.78</v>
      </c>
      <c r="AB51" s="12">
        <f>AD47</f>
        <v>145268.66999999998</v>
      </c>
      <c r="AC51" s="10">
        <v>0</v>
      </c>
      <c r="AD51" s="11">
        <f>AB51+AC51</f>
        <v>145268.66999999998</v>
      </c>
      <c r="AF51" s="12">
        <f>AH47</f>
        <v>268485.99</v>
      </c>
      <c r="AG51" s="10">
        <v>0</v>
      </c>
      <c r="AH51" s="11">
        <f>AF51+AG51</f>
        <v>268485.99</v>
      </c>
      <c r="AJ51" s="12">
        <f>AL47</f>
        <v>60486.239999999998</v>
      </c>
      <c r="AK51" s="10">
        <v>0</v>
      </c>
      <c r="AL51" s="11">
        <f>AJ51+AK51</f>
        <v>60486.239999999998</v>
      </c>
      <c r="AN51" s="12">
        <f>AP47</f>
        <v>4999.99</v>
      </c>
      <c r="AO51" s="10">
        <v>0</v>
      </c>
      <c r="AP51" s="11">
        <f>AN51+AO51</f>
        <v>4999.99</v>
      </c>
      <c r="AR51" s="12">
        <f>AT47</f>
        <v>4999.99</v>
      </c>
      <c r="AS51" s="10">
        <v>0</v>
      </c>
      <c r="AT51" s="11">
        <f>AR51+AS51</f>
        <v>4999.99</v>
      </c>
      <c r="AV51" s="11">
        <f t="shared" si="10"/>
        <v>2670173.3200000003</v>
      </c>
      <c r="AW51" s="13">
        <f t="shared" si="10"/>
        <v>0</v>
      </c>
      <c r="AX51" s="11">
        <f t="shared" si="10"/>
        <v>2670173.3200000003</v>
      </c>
    </row>
    <row r="52" spans="2:50" ht="18" customHeight="1" x14ac:dyDescent="0.35">
      <c r="B52" s="154" t="s">
        <v>95</v>
      </c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</row>
    <row r="53" spans="2:50" ht="6" customHeight="1" x14ac:dyDescent="0.35">
      <c r="B53" s="28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</row>
    <row r="54" spans="2:50" ht="22" customHeight="1" x14ac:dyDescent="0.35">
      <c r="B54" s="143" t="s">
        <v>111</v>
      </c>
      <c r="C54" s="126"/>
      <c r="D54" s="129"/>
      <c r="E54" s="127"/>
      <c r="F54" s="123"/>
      <c r="G54" s="19" t="s">
        <v>91</v>
      </c>
      <c r="H54" s="12">
        <f>J50</f>
        <v>593717.36</v>
      </c>
      <c r="I54" s="10">
        <v>0</v>
      </c>
      <c r="J54" s="11">
        <f>H54+I54</f>
        <v>593717.36</v>
      </c>
      <c r="L54" s="12">
        <f>N50</f>
        <v>727970.79</v>
      </c>
      <c r="M54" s="10">
        <v>0</v>
      </c>
      <c r="N54" s="11">
        <f>L54+M54</f>
        <v>727970.79</v>
      </c>
      <c r="P54" s="12">
        <f>R50</f>
        <v>869923.61</v>
      </c>
      <c r="Q54" s="10">
        <v>0</v>
      </c>
      <c r="R54" s="11">
        <f>P54+Q54</f>
        <v>869923.61</v>
      </c>
      <c r="T54" s="12">
        <f>V50</f>
        <v>688014.82</v>
      </c>
      <c r="U54" s="10">
        <v>0</v>
      </c>
      <c r="V54" s="11">
        <f>T54+U54</f>
        <v>688014.82</v>
      </c>
      <c r="X54" s="12">
        <f>Z50</f>
        <v>33772.5</v>
      </c>
      <c r="Y54" s="10">
        <v>0</v>
      </c>
      <c r="Z54" s="11">
        <f>X54+Y54</f>
        <v>33772.5</v>
      </c>
      <c r="AB54" s="12">
        <f>AD50</f>
        <v>199225.60000000001</v>
      </c>
      <c r="AC54" s="10">
        <v>0</v>
      </c>
      <c r="AD54" s="11">
        <f>AB54+AC54</f>
        <v>199225.60000000001</v>
      </c>
      <c r="AF54" s="12">
        <f>AH50</f>
        <v>268485.99</v>
      </c>
      <c r="AG54" s="10">
        <v>0</v>
      </c>
      <c r="AH54" s="11">
        <f>AF54+AG54</f>
        <v>268485.99</v>
      </c>
      <c r="AJ54" s="12">
        <f>AL50</f>
        <v>132000</v>
      </c>
      <c r="AK54" s="10">
        <v>0</v>
      </c>
      <c r="AL54" s="11">
        <f>AJ54+AK54</f>
        <v>132000</v>
      </c>
      <c r="AN54" s="12">
        <f>AP50</f>
        <v>10144</v>
      </c>
      <c r="AO54" s="10">
        <v>0</v>
      </c>
      <c r="AP54" s="11">
        <f>AN54+AO54</f>
        <v>10144</v>
      </c>
      <c r="AR54" s="12">
        <f>AT50</f>
        <v>10144</v>
      </c>
      <c r="AS54" s="10">
        <v>0</v>
      </c>
      <c r="AT54" s="11">
        <f>AR54+AS54</f>
        <v>10144</v>
      </c>
      <c r="AV54" s="11">
        <f t="shared" ref="AV54:AX55" si="11">H54+L54+P54+T54+X54+AB54+AF54+AJ54+AR54</f>
        <v>3523254.67</v>
      </c>
      <c r="AW54" s="13">
        <f t="shared" si="11"/>
        <v>0</v>
      </c>
      <c r="AX54" s="11">
        <f t="shared" si="11"/>
        <v>3523254.67</v>
      </c>
    </row>
    <row r="55" spans="2:50" ht="20" customHeight="1" x14ac:dyDescent="0.35">
      <c r="B55" s="123"/>
      <c r="C55" s="123"/>
      <c r="D55" s="123"/>
      <c r="E55" s="123"/>
      <c r="F55" s="123"/>
      <c r="G55" s="18" t="s">
        <v>93</v>
      </c>
      <c r="H55" s="12">
        <f>J51</f>
        <v>432918.91000000003</v>
      </c>
      <c r="I55" s="10">
        <v>0</v>
      </c>
      <c r="J55" s="11">
        <f>H55+I55</f>
        <v>432918.91000000003</v>
      </c>
      <c r="L55" s="12">
        <f>N51</f>
        <v>561144.15</v>
      </c>
      <c r="M55" s="10">
        <v>0</v>
      </c>
      <c r="N55" s="11">
        <f>L55+M55</f>
        <v>561144.15</v>
      </c>
      <c r="P55" s="12">
        <f>R51</f>
        <v>670566.12</v>
      </c>
      <c r="Q55" s="10">
        <v>0</v>
      </c>
      <c r="R55" s="11">
        <f>P55+Q55</f>
        <v>670566.12</v>
      </c>
      <c r="T55" s="12">
        <f>V51</f>
        <v>501677.47000000003</v>
      </c>
      <c r="U55" s="10">
        <v>0</v>
      </c>
      <c r="V55" s="11">
        <f>T55+U55</f>
        <v>501677.47000000003</v>
      </c>
      <c r="X55" s="12">
        <f>Z51</f>
        <v>24625.78</v>
      </c>
      <c r="Y55" s="10">
        <v>0</v>
      </c>
      <c r="Z55" s="11">
        <f>X55+Y55</f>
        <v>24625.78</v>
      </c>
      <c r="AB55" s="12">
        <f>AD51</f>
        <v>145268.66999999998</v>
      </c>
      <c r="AC55" s="10">
        <v>0</v>
      </c>
      <c r="AD55" s="11">
        <f>AB55+AC55</f>
        <v>145268.66999999998</v>
      </c>
      <c r="AF55" s="12">
        <f>AH51</f>
        <v>268485.99</v>
      </c>
      <c r="AG55" s="10">
        <v>0</v>
      </c>
      <c r="AH55" s="11">
        <f>AF55+AG55</f>
        <v>268485.99</v>
      </c>
      <c r="AJ55" s="12">
        <f>AL51</f>
        <v>60486.239999999998</v>
      </c>
      <c r="AK55" s="10">
        <v>0</v>
      </c>
      <c r="AL55" s="11">
        <f>AJ55+AK55</f>
        <v>60486.239999999998</v>
      </c>
      <c r="AN55" s="12">
        <f>AP51</f>
        <v>4999.99</v>
      </c>
      <c r="AO55" s="10">
        <v>0</v>
      </c>
      <c r="AP55" s="11">
        <f>AN55+AO55</f>
        <v>4999.99</v>
      </c>
      <c r="AR55" s="12">
        <f>AT51</f>
        <v>4999.99</v>
      </c>
      <c r="AS55" s="10">
        <v>0</v>
      </c>
      <c r="AT55" s="11">
        <f>AR55+AS55</f>
        <v>4999.99</v>
      </c>
      <c r="AV55" s="11">
        <f t="shared" si="11"/>
        <v>2670173.3200000003</v>
      </c>
      <c r="AW55" s="13">
        <f t="shared" si="11"/>
        <v>0</v>
      </c>
      <c r="AX55" s="11">
        <f t="shared" si="11"/>
        <v>2670173.3200000003</v>
      </c>
    </row>
    <row r="56" spans="2:50" ht="18" customHeight="1" x14ac:dyDescent="0.35">
      <c r="B56" s="132" t="s">
        <v>95</v>
      </c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</row>
    <row r="57" spans="2:50" ht="6" customHeight="1" x14ac:dyDescent="0.35">
      <c r="B57" s="28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</row>
    <row r="58" spans="2:50" ht="22" customHeight="1" x14ac:dyDescent="0.35">
      <c r="B58" s="138" t="s">
        <v>112</v>
      </c>
      <c r="C58" s="126"/>
      <c r="D58" s="129"/>
      <c r="E58" s="127"/>
      <c r="F58" s="123"/>
      <c r="G58" s="18" t="s">
        <v>91</v>
      </c>
      <c r="H58" s="12">
        <f>J54</f>
        <v>593717.36</v>
      </c>
      <c r="I58" s="10">
        <v>0</v>
      </c>
      <c r="J58" s="11">
        <f>H58+I58</f>
        <v>593717.36</v>
      </c>
      <c r="L58" s="12">
        <f>N54</f>
        <v>727970.79</v>
      </c>
      <c r="M58" s="10">
        <v>0</v>
      </c>
      <c r="N58" s="11">
        <f>L58+M58</f>
        <v>727970.79</v>
      </c>
      <c r="P58" s="12">
        <f>R54</f>
        <v>869923.61</v>
      </c>
      <c r="Q58" s="10">
        <v>0</v>
      </c>
      <c r="R58" s="11">
        <f>P58+Q58</f>
        <v>869923.61</v>
      </c>
      <c r="T58" s="12">
        <f>V54</f>
        <v>688014.82</v>
      </c>
      <c r="U58" s="10">
        <v>0</v>
      </c>
      <c r="V58" s="11">
        <f>T58+U58</f>
        <v>688014.82</v>
      </c>
      <c r="X58" s="12">
        <f>Z54</f>
        <v>33772.5</v>
      </c>
      <c r="Y58" s="10">
        <v>0</v>
      </c>
      <c r="Z58" s="11">
        <f>X58+Y58</f>
        <v>33772.5</v>
      </c>
      <c r="AB58" s="12">
        <f>AD54</f>
        <v>199225.60000000001</v>
      </c>
      <c r="AC58" s="10">
        <v>0</v>
      </c>
      <c r="AD58" s="11">
        <f>AB58+AC58</f>
        <v>199225.60000000001</v>
      </c>
      <c r="AF58" s="12">
        <f>AH54</f>
        <v>268485.99</v>
      </c>
      <c r="AG58" s="10">
        <v>0</v>
      </c>
      <c r="AH58" s="11">
        <f>AF58+AG58</f>
        <v>268485.99</v>
      </c>
      <c r="AJ58" s="12">
        <f>AL54</f>
        <v>132000</v>
      </c>
      <c r="AK58" s="10">
        <v>0</v>
      </c>
      <c r="AL58" s="11">
        <f>AJ58+AK58</f>
        <v>132000</v>
      </c>
      <c r="AN58" s="12">
        <f>AP54</f>
        <v>10144</v>
      </c>
      <c r="AO58" s="10">
        <v>0</v>
      </c>
      <c r="AP58" s="11">
        <f>AN58+AO58</f>
        <v>10144</v>
      </c>
      <c r="AR58" s="12">
        <f>AT54</f>
        <v>10144</v>
      </c>
      <c r="AS58" s="10">
        <v>0</v>
      </c>
      <c r="AT58" s="11">
        <f>AR58+AS58</f>
        <v>10144</v>
      </c>
      <c r="AV58" s="11">
        <f t="shared" ref="AV58:AX59" si="12">H58+L58+P58+T58+X58+AB58+AF58+AJ58+AR58</f>
        <v>3523254.67</v>
      </c>
      <c r="AW58" s="13">
        <f t="shared" si="12"/>
        <v>0</v>
      </c>
      <c r="AX58" s="11">
        <f t="shared" si="12"/>
        <v>3523254.67</v>
      </c>
    </row>
    <row r="59" spans="2:50" ht="20" customHeight="1" x14ac:dyDescent="0.35">
      <c r="B59" s="123"/>
      <c r="C59" s="123"/>
      <c r="D59" s="123"/>
      <c r="E59" s="123"/>
      <c r="F59" s="123"/>
      <c r="G59" s="18" t="s">
        <v>93</v>
      </c>
      <c r="H59" s="12">
        <f>J55</f>
        <v>432918.91000000003</v>
      </c>
      <c r="I59" s="10">
        <v>0</v>
      </c>
      <c r="J59" s="11">
        <f>H59+I59</f>
        <v>432918.91000000003</v>
      </c>
      <c r="L59" s="12">
        <f>N55</f>
        <v>561144.15</v>
      </c>
      <c r="M59" s="10">
        <v>0</v>
      </c>
      <c r="N59" s="11">
        <f>L59+M59</f>
        <v>561144.15</v>
      </c>
      <c r="P59" s="12">
        <f>R55</f>
        <v>670566.12</v>
      </c>
      <c r="Q59" s="10">
        <v>0</v>
      </c>
      <c r="R59" s="11">
        <f>P59+Q59</f>
        <v>670566.12</v>
      </c>
      <c r="T59" s="12">
        <f>V55</f>
        <v>501677.47000000003</v>
      </c>
      <c r="U59" s="10">
        <v>0</v>
      </c>
      <c r="V59" s="11">
        <f>T59+U59</f>
        <v>501677.47000000003</v>
      </c>
      <c r="X59" s="12">
        <f>Z55</f>
        <v>24625.78</v>
      </c>
      <c r="Y59" s="10">
        <v>0</v>
      </c>
      <c r="Z59" s="11">
        <f>X59+Y59</f>
        <v>24625.78</v>
      </c>
      <c r="AB59" s="12">
        <f>AD55</f>
        <v>145268.66999999998</v>
      </c>
      <c r="AC59" s="10">
        <v>0</v>
      </c>
      <c r="AD59" s="11">
        <f>AB59+AC59</f>
        <v>145268.66999999998</v>
      </c>
      <c r="AF59" s="12">
        <f>AH55</f>
        <v>268485.99</v>
      </c>
      <c r="AG59" s="10">
        <v>0</v>
      </c>
      <c r="AH59" s="11">
        <f>AF59+AG59</f>
        <v>268485.99</v>
      </c>
      <c r="AJ59" s="12">
        <f>AL55</f>
        <v>60486.239999999998</v>
      </c>
      <c r="AK59" s="10">
        <v>0</v>
      </c>
      <c r="AL59" s="11">
        <f>AJ59+AK59</f>
        <v>60486.239999999998</v>
      </c>
      <c r="AN59" s="12">
        <f>AP55</f>
        <v>4999.99</v>
      </c>
      <c r="AO59" s="10">
        <v>0</v>
      </c>
      <c r="AP59" s="11">
        <f>AN59+AO59</f>
        <v>4999.99</v>
      </c>
      <c r="AR59" s="12">
        <f>AT55</f>
        <v>4999.99</v>
      </c>
      <c r="AS59" s="10">
        <v>0</v>
      </c>
      <c r="AT59" s="11">
        <f>AR59+AS59</f>
        <v>4999.99</v>
      </c>
      <c r="AV59" s="11">
        <f t="shared" si="12"/>
        <v>2670173.3200000003</v>
      </c>
      <c r="AW59" s="13">
        <f t="shared" si="12"/>
        <v>0</v>
      </c>
      <c r="AX59" s="11">
        <f t="shared" si="12"/>
        <v>2670173.3200000003</v>
      </c>
    </row>
    <row r="60" spans="2:50" ht="18" customHeight="1" x14ac:dyDescent="0.35">
      <c r="B60" s="132" t="s">
        <v>95</v>
      </c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</row>
    <row r="61" spans="2:50" ht="6" customHeight="1" x14ac:dyDescent="0.35">
      <c r="B61" s="28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</row>
    <row r="62" spans="2:50" ht="22" customHeight="1" x14ac:dyDescent="0.35">
      <c r="B62" s="133" t="s">
        <v>113</v>
      </c>
      <c r="C62" s="126"/>
      <c r="D62" s="129"/>
      <c r="E62" s="127"/>
      <c r="F62" s="123"/>
      <c r="G62" s="22" t="s">
        <v>91</v>
      </c>
      <c r="H62" s="12">
        <f>J58</f>
        <v>593717.36</v>
      </c>
      <c r="I62" s="10">
        <v>0</v>
      </c>
      <c r="J62" s="11">
        <f>H62+I62</f>
        <v>593717.36</v>
      </c>
      <c r="L62" s="12">
        <f>N58</f>
        <v>727970.79</v>
      </c>
      <c r="M62" s="10">
        <v>0</v>
      </c>
      <c r="N62" s="11">
        <f>L62+M62</f>
        <v>727970.79</v>
      </c>
      <c r="P62" s="12">
        <f>R58</f>
        <v>869923.61</v>
      </c>
      <c r="Q62" s="10">
        <v>0</v>
      </c>
      <c r="R62" s="11">
        <f>P62+Q62</f>
        <v>869923.61</v>
      </c>
      <c r="T62" s="12">
        <f>V58</f>
        <v>688014.82</v>
      </c>
      <c r="U62" s="10">
        <v>0</v>
      </c>
      <c r="V62" s="11">
        <f>T62+U62</f>
        <v>688014.82</v>
      </c>
      <c r="X62" s="12">
        <f>Z58</f>
        <v>33772.5</v>
      </c>
      <c r="Y62" s="10">
        <v>0</v>
      </c>
      <c r="Z62" s="11">
        <f>X62+Y62</f>
        <v>33772.5</v>
      </c>
      <c r="AB62" s="12">
        <f>AD58</f>
        <v>199225.60000000001</v>
      </c>
      <c r="AC62" s="10">
        <v>0</v>
      </c>
      <c r="AD62" s="11">
        <f>AB62+AC62</f>
        <v>199225.60000000001</v>
      </c>
      <c r="AF62" s="12">
        <f>AH58</f>
        <v>268485.99</v>
      </c>
      <c r="AG62" s="10">
        <v>0</v>
      </c>
      <c r="AH62" s="11">
        <f>AF62+AG62</f>
        <v>268485.99</v>
      </c>
      <c r="AJ62" s="12">
        <f>AL58</f>
        <v>132000</v>
      </c>
      <c r="AK62" s="10">
        <v>0</v>
      </c>
      <c r="AL62" s="11">
        <f>AJ62+AK62</f>
        <v>132000</v>
      </c>
      <c r="AN62" s="12">
        <f>AP58</f>
        <v>10144</v>
      </c>
      <c r="AO62" s="10">
        <v>0</v>
      </c>
      <c r="AP62" s="11">
        <f>AN62+AO62</f>
        <v>10144</v>
      </c>
      <c r="AR62" s="12">
        <f>AT58</f>
        <v>10144</v>
      </c>
      <c r="AS62" s="10">
        <v>0</v>
      </c>
      <c r="AT62" s="11">
        <f>AR62+AS62</f>
        <v>10144</v>
      </c>
      <c r="AV62" s="11">
        <f t="shared" ref="AV62:AX63" si="13">H62+L62+P62+T62+X62+AB62+AF62+AJ62+AR62</f>
        <v>3523254.67</v>
      </c>
      <c r="AW62" s="13">
        <f t="shared" si="13"/>
        <v>0</v>
      </c>
      <c r="AX62" s="11">
        <f t="shared" si="13"/>
        <v>3523254.67</v>
      </c>
    </row>
    <row r="63" spans="2:50" ht="20" customHeight="1" x14ac:dyDescent="0.35">
      <c r="B63" s="123"/>
      <c r="C63" s="123"/>
      <c r="D63" s="123"/>
      <c r="E63" s="123"/>
      <c r="F63" s="123"/>
      <c r="G63" s="18" t="s">
        <v>93</v>
      </c>
      <c r="H63" s="12">
        <f>J59</f>
        <v>432918.91000000003</v>
      </c>
      <c r="I63" s="10">
        <v>0</v>
      </c>
      <c r="J63" s="11">
        <f>H63+I63</f>
        <v>432918.91000000003</v>
      </c>
      <c r="L63" s="12">
        <f>N59</f>
        <v>561144.15</v>
      </c>
      <c r="M63" s="10">
        <v>0</v>
      </c>
      <c r="N63" s="11">
        <f>L63+M63</f>
        <v>561144.15</v>
      </c>
      <c r="P63" s="12">
        <f>R59</f>
        <v>670566.12</v>
      </c>
      <c r="Q63" s="10">
        <v>0</v>
      </c>
      <c r="R63" s="11">
        <f>P63+Q63</f>
        <v>670566.12</v>
      </c>
      <c r="T63" s="12">
        <f>V59</f>
        <v>501677.47000000003</v>
      </c>
      <c r="U63" s="10">
        <v>0</v>
      </c>
      <c r="V63" s="11">
        <f>T63+U63</f>
        <v>501677.47000000003</v>
      </c>
      <c r="X63" s="12">
        <f>Z59</f>
        <v>24625.78</v>
      </c>
      <c r="Y63" s="10">
        <v>0</v>
      </c>
      <c r="Z63" s="11">
        <f>X63+Y63</f>
        <v>24625.78</v>
      </c>
      <c r="AB63" s="12">
        <f>AD59</f>
        <v>145268.66999999998</v>
      </c>
      <c r="AC63" s="10">
        <v>0</v>
      </c>
      <c r="AD63" s="11">
        <f>AB63+AC63</f>
        <v>145268.66999999998</v>
      </c>
      <c r="AF63" s="12">
        <f>AH59</f>
        <v>268485.99</v>
      </c>
      <c r="AG63" s="10">
        <v>0</v>
      </c>
      <c r="AH63" s="11">
        <f>AF63+AG63</f>
        <v>268485.99</v>
      </c>
      <c r="AJ63" s="12">
        <f>AL59</f>
        <v>60486.239999999998</v>
      </c>
      <c r="AK63" s="10">
        <v>0</v>
      </c>
      <c r="AL63" s="11">
        <f>AJ63+AK63</f>
        <v>60486.239999999998</v>
      </c>
      <c r="AN63" s="12">
        <f>AP59</f>
        <v>4999.99</v>
      </c>
      <c r="AO63" s="10">
        <v>0</v>
      </c>
      <c r="AP63" s="11">
        <f>AN63+AO63</f>
        <v>4999.99</v>
      </c>
      <c r="AR63" s="12">
        <f>AT59</f>
        <v>4999.99</v>
      </c>
      <c r="AS63" s="10">
        <v>0</v>
      </c>
      <c r="AT63" s="11">
        <f>AR63+AS63</f>
        <v>4999.99</v>
      </c>
      <c r="AV63" s="11">
        <f t="shared" si="13"/>
        <v>2670173.3200000003</v>
      </c>
      <c r="AW63" s="13">
        <f t="shared" si="13"/>
        <v>0</v>
      </c>
      <c r="AX63" s="11">
        <f t="shared" si="13"/>
        <v>2670173.3200000003</v>
      </c>
    </row>
    <row r="64" spans="2:50" ht="18" customHeight="1" x14ac:dyDescent="0.35">
      <c r="B64" s="132" t="s">
        <v>95</v>
      </c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3"/>
      <c r="AT64" s="123"/>
      <c r="AU64" s="123"/>
      <c r="AV64" s="123"/>
      <c r="AW64" s="123"/>
      <c r="AX64" s="123"/>
    </row>
    <row r="65" spans="2:50" ht="6" customHeight="1" x14ac:dyDescent="0.35">
      <c r="B65" s="28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</row>
    <row r="66" spans="2:50" ht="22" customHeight="1" x14ac:dyDescent="0.35">
      <c r="B66" s="153" t="s">
        <v>114</v>
      </c>
      <c r="C66" s="126"/>
      <c r="D66" s="129"/>
      <c r="E66" s="127"/>
      <c r="F66" s="123"/>
      <c r="G66" s="25" t="s">
        <v>91</v>
      </c>
      <c r="H66" s="12">
        <f>J62</f>
        <v>593717.36</v>
      </c>
      <c r="I66" s="10">
        <v>0</v>
      </c>
      <c r="J66" s="11">
        <f>H66+I66</f>
        <v>593717.36</v>
      </c>
      <c r="L66" s="12">
        <f>N62</f>
        <v>727970.79</v>
      </c>
      <c r="M66" s="10">
        <v>0</v>
      </c>
      <c r="N66" s="11">
        <f>L66+M66</f>
        <v>727970.79</v>
      </c>
      <c r="P66" s="12">
        <f>R62</f>
        <v>869923.61</v>
      </c>
      <c r="Q66" s="10">
        <v>0</v>
      </c>
      <c r="R66" s="11">
        <f>P66+Q66</f>
        <v>869923.61</v>
      </c>
      <c r="T66" s="12">
        <f>V62</f>
        <v>688014.82</v>
      </c>
      <c r="U66" s="10">
        <v>0</v>
      </c>
      <c r="V66" s="11">
        <f>T66+U66</f>
        <v>688014.82</v>
      </c>
      <c r="X66" s="12">
        <f>Z62</f>
        <v>33772.5</v>
      </c>
      <c r="Y66" s="10">
        <v>0</v>
      </c>
      <c r="Z66" s="11">
        <f>X66+Y66</f>
        <v>33772.5</v>
      </c>
      <c r="AB66" s="12">
        <f>AD62</f>
        <v>199225.60000000001</v>
      </c>
      <c r="AC66" s="10">
        <v>0</v>
      </c>
      <c r="AD66" s="11">
        <f>AB66+AC66</f>
        <v>199225.60000000001</v>
      </c>
      <c r="AF66" s="12">
        <f>AH62</f>
        <v>268485.99</v>
      </c>
      <c r="AG66" s="10">
        <v>0</v>
      </c>
      <c r="AH66" s="11">
        <f>AF66+AG66</f>
        <v>268485.99</v>
      </c>
      <c r="AJ66" s="12">
        <f>AL62</f>
        <v>132000</v>
      </c>
      <c r="AK66" s="10">
        <v>0</v>
      </c>
      <c r="AL66" s="11">
        <f>AJ66+AK66</f>
        <v>132000</v>
      </c>
      <c r="AN66" s="12">
        <f>AP62</f>
        <v>10144</v>
      </c>
      <c r="AO66" s="10">
        <v>0</v>
      </c>
      <c r="AP66" s="11">
        <f>AN66+AO66</f>
        <v>10144</v>
      </c>
      <c r="AR66" s="12">
        <f>AT62</f>
        <v>10144</v>
      </c>
      <c r="AS66" s="10">
        <v>0</v>
      </c>
      <c r="AT66" s="11">
        <f>AR66+AS66</f>
        <v>10144</v>
      </c>
      <c r="AV66" s="11">
        <f t="shared" ref="AV66:AX67" si="14">H66+L66+P66+T66+X66+AB66+AF66+AJ66+AR66</f>
        <v>3523254.67</v>
      </c>
      <c r="AW66" s="13">
        <f t="shared" si="14"/>
        <v>0</v>
      </c>
      <c r="AX66" s="11">
        <f t="shared" si="14"/>
        <v>3523254.67</v>
      </c>
    </row>
    <row r="67" spans="2:50" ht="20" customHeight="1" x14ac:dyDescent="0.35">
      <c r="B67" s="123"/>
      <c r="C67" s="123"/>
      <c r="D67" s="123"/>
      <c r="E67" s="123"/>
      <c r="F67" s="123"/>
      <c r="G67" s="18" t="s">
        <v>93</v>
      </c>
      <c r="H67" s="12">
        <f>J63</f>
        <v>432918.91000000003</v>
      </c>
      <c r="I67" s="10">
        <v>0</v>
      </c>
      <c r="J67" s="11">
        <f>H67+I67</f>
        <v>432918.91000000003</v>
      </c>
      <c r="L67" s="12">
        <f>N63</f>
        <v>561144.15</v>
      </c>
      <c r="M67" s="10">
        <v>0</v>
      </c>
      <c r="N67" s="11">
        <f>L67+M67</f>
        <v>561144.15</v>
      </c>
      <c r="P67" s="12">
        <f>R63</f>
        <v>670566.12</v>
      </c>
      <c r="Q67" s="10">
        <v>0</v>
      </c>
      <c r="R67" s="11">
        <f>P67+Q67</f>
        <v>670566.12</v>
      </c>
      <c r="T67" s="12">
        <f>V63</f>
        <v>501677.47000000003</v>
      </c>
      <c r="U67" s="10">
        <v>0</v>
      </c>
      <c r="V67" s="11">
        <f>T67+U67</f>
        <v>501677.47000000003</v>
      </c>
      <c r="X67" s="12">
        <f>Z63</f>
        <v>24625.78</v>
      </c>
      <c r="Y67" s="10">
        <v>0</v>
      </c>
      <c r="Z67" s="11">
        <f>X67+Y67</f>
        <v>24625.78</v>
      </c>
      <c r="AB67" s="12">
        <f>AD63</f>
        <v>145268.66999999998</v>
      </c>
      <c r="AC67" s="10">
        <v>0</v>
      </c>
      <c r="AD67" s="11">
        <f>AB67+AC67</f>
        <v>145268.66999999998</v>
      </c>
      <c r="AF67" s="12">
        <f>AH63</f>
        <v>268485.99</v>
      </c>
      <c r="AG67" s="10">
        <v>0</v>
      </c>
      <c r="AH67" s="11">
        <f>AF67+AG67</f>
        <v>268485.99</v>
      </c>
      <c r="AJ67" s="12">
        <f>AL63</f>
        <v>60486.239999999998</v>
      </c>
      <c r="AK67" s="10">
        <v>0</v>
      </c>
      <c r="AL67" s="11">
        <f>AJ67+AK67</f>
        <v>60486.239999999998</v>
      </c>
      <c r="AN67" s="12">
        <f>AP63</f>
        <v>4999.99</v>
      </c>
      <c r="AO67" s="10">
        <v>0</v>
      </c>
      <c r="AP67" s="11">
        <f>AN67+AO67</f>
        <v>4999.99</v>
      </c>
      <c r="AR67" s="12">
        <f>AT63</f>
        <v>4999.99</v>
      </c>
      <c r="AS67" s="10">
        <v>0</v>
      </c>
      <c r="AT67" s="11">
        <f>AR67+AS67</f>
        <v>4999.99</v>
      </c>
      <c r="AV67" s="11">
        <f t="shared" si="14"/>
        <v>2670173.3200000003</v>
      </c>
      <c r="AW67" s="13">
        <f t="shared" si="14"/>
        <v>0</v>
      </c>
      <c r="AX67" s="11">
        <f t="shared" si="14"/>
        <v>2670173.3200000003</v>
      </c>
    </row>
    <row r="68" spans="2:50" ht="18" customHeight="1" x14ac:dyDescent="0.35">
      <c r="B68" s="132" t="s">
        <v>95</v>
      </c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3"/>
      <c r="AH68" s="123"/>
      <c r="AI68" s="123"/>
      <c r="AJ68" s="123"/>
      <c r="AK68" s="123"/>
      <c r="AL68" s="123"/>
      <c r="AM68" s="123"/>
      <c r="AN68" s="123"/>
      <c r="AO68" s="123"/>
      <c r="AP68" s="123"/>
      <c r="AQ68" s="123"/>
      <c r="AR68" s="123"/>
      <c r="AS68" s="123"/>
      <c r="AT68" s="123"/>
      <c r="AU68" s="123"/>
      <c r="AV68" s="123"/>
      <c r="AW68" s="123"/>
      <c r="AX68" s="123"/>
    </row>
    <row r="69" spans="2:50" ht="6" customHeight="1" x14ac:dyDescent="0.35">
      <c r="B69" s="28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</row>
    <row r="70" spans="2:50" ht="22" customHeight="1" x14ac:dyDescent="0.35">
      <c r="B70" s="143" t="s">
        <v>115</v>
      </c>
      <c r="C70" s="126"/>
      <c r="D70" s="129"/>
      <c r="E70" s="127"/>
      <c r="F70" s="123"/>
      <c r="G70" s="19" t="s">
        <v>91</v>
      </c>
      <c r="H70" s="12">
        <f>J66</f>
        <v>593717.36</v>
      </c>
      <c r="I70" s="10">
        <v>0</v>
      </c>
      <c r="J70" s="11">
        <f>H70+I70</f>
        <v>593717.36</v>
      </c>
      <c r="L70" s="12">
        <f>N66</f>
        <v>727970.79</v>
      </c>
      <c r="M70" s="10">
        <v>0</v>
      </c>
      <c r="N70" s="11">
        <f>L70+M70</f>
        <v>727970.79</v>
      </c>
      <c r="P70" s="12">
        <f>R66</f>
        <v>869923.61</v>
      </c>
      <c r="Q70" s="10">
        <v>0</v>
      </c>
      <c r="R70" s="11">
        <f>P70+Q70</f>
        <v>869923.61</v>
      </c>
      <c r="T70" s="12">
        <f>V66</f>
        <v>688014.82</v>
      </c>
      <c r="U70" s="10">
        <v>0</v>
      </c>
      <c r="V70" s="11">
        <f>T70+U70</f>
        <v>688014.82</v>
      </c>
      <c r="X70" s="12">
        <f>Z66</f>
        <v>33772.5</v>
      </c>
      <c r="Y70" s="10">
        <v>0</v>
      </c>
      <c r="Z70" s="11">
        <f>X70+Y70</f>
        <v>33772.5</v>
      </c>
      <c r="AB70" s="12">
        <f>AD66</f>
        <v>199225.60000000001</v>
      </c>
      <c r="AC70" s="10">
        <v>0</v>
      </c>
      <c r="AD70" s="11">
        <f>AB70+AC70</f>
        <v>199225.60000000001</v>
      </c>
      <c r="AF70" s="12">
        <f>AH66</f>
        <v>268485.99</v>
      </c>
      <c r="AG70" s="10">
        <v>0</v>
      </c>
      <c r="AH70" s="11">
        <f>AF70+AG70</f>
        <v>268485.99</v>
      </c>
      <c r="AJ70" s="12">
        <f>AL66</f>
        <v>132000</v>
      </c>
      <c r="AK70" s="10">
        <v>0</v>
      </c>
      <c r="AL70" s="11">
        <f>AJ70+AK70</f>
        <v>132000</v>
      </c>
      <c r="AN70" s="12">
        <f>AP66</f>
        <v>10144</v>
      </c>
      <c r="AO70" s="10">
        <v>0</v>
      </c>
      <c r="AP70" s="11">
        <f>AN70+AO70</f>
        <v>10144</v>
      </c>
      <c r="AR70" s="12">
        <f>AT66</f>
        <v>10144</v>
      </c>
      <c r="AS70" s="10">
        <v>0</v>
      </c>
      <c r="AT70" s="11">
        <f>AR70+AS70</f>
        <v>10144</v>
      </c>
      <c r="AV70" s="11">
        <f t="shared" ref="AV70:AX71" si="15">H70+L70+P70+T70+X70+AB70+AF70+AJ70+AR70</f>
        <v>3523254.67</v>
      </c>
      <c r="AW70" s="13">
        <f t="shared" si="15"/>
        <v>0</v>
      </c>
      <c r="AX70" s="11">
        <f t="shared" si="15"/>
        <v>3523254.67</v>
      </c>
    </row>
    <row r="71" spans="2:50" ht="20" customHeight="1" x14ac:dyDescent="0.35">
      <c r="B71" s="123"/>
      <c r="C71" s="123"/>
      <c r="D71" s="123"/>
      <c r="E71" s="123"/>
      <c r="F71" s="123"/>
      <c r="G71" s="18" t="s">
        <v>93</v>
      </c>
      <c r="H71" s="12">
        <f>J67</f>
        <v>432918.91000000003</v>
      </c>
      <c r="I71" s="10">
        <v>0</v>
      </c>
      <c r="J71" s="11">
        <f>H71+I71</f>
        <v>432918.91000000003</v>
      </c>
      <c r="L71" s="12">
        <f>N67</f>
        <v>561144.15</v>
      </c>
      <c r="M71" s="10">
        <v>0</v>
      </c>
      <c r="N71" s="11">
        <f>L71+M71</f>
        <v>561144.15</v>
      </c>
      <c r="P71" s="12">
        <f>R67</f>
        <v>670566.12</v>
      </c>
      <c r="Q71" s="10">
        <v>0</v>
      </c>
      <c r="R71" s="11">
        <f>P71+Q71</f>
        <v>670566.12</v>
      </c>
      <c r="T71" s="12">
        <f>V67</f>
        <v>501677.47000000003</v>
      </c>
      <c r="U71" s="10">
        <v>0</v>
      </c>
      <c r="V71" s="11">
        <f>T71+U71</f>
        <v>501677.47000000003</v>
      </c>
      <c r="X71" s="12">
        <f>Z67</f>
        <v>24625.78</v>
      </c>
      <c r="Y71" s="10">
        <v>0</v>
      </c>
      <c r="Z71" s="11">
        <f>X71+Y71</f>
        <v>24625.78</v>
      </c>
      <c r="AB71" s="12">
        <f>AD67</f>
        <v>145268.66999999998</v>
      </c>
      <c r="AC71" s="10">
        <v>0</v>
      </c>
      <c r="AD71" s="11">
        <f>AB71+AC71</f>
        <v>145268.66999999998</v>
      </c>
      <c r="AF71" s="12">
        <f>AH67</f>
        <v>268485.99</v>
      </c>
      <c r="AG71" s="10">
        <v>0</v>
      </c>
      <c r="AH71" s="11">
        <f>AF71+AG71</f>
        <v>268485.99</v>
      </c>
      <c r="AJ71" s="12">
        <f>AL67</f>
        <v>60486.239999999998</v>
      </c>
      <c r="AK71" s="10">
        <v>0</v>
      </c>
      <c r="AL71" s="11">
        <f>AJ71+AK71</f>
        <v>60486.239999999998</v>
      </c>
      <c r="AN71" s="12">
        <f>AP67</f>
        <v>4999.99</v>
      </c>
      <c r="AO71" s="10">
        <v>0</v>
      </c>
      <c r="AP71" s="11">
        <f>AN71+AO71</f>
        <v>4999.99</v>
      </c>
      <c r="AR71" s="12">
        <f>AT67</f>
        <v>4999.99</v>
      </c>
      <c r="AS71" s="10">
        <v>0</v>
      </c>
      <c r="AT71" s="11">
        <f>AR71+AS71</f>
        <v>4999.99</v>
      </c>
      <c r="AV71" s="11">
        <f t="shared" si="15"/>
        <v>2670173.3200000003</v>
      </c>
      <c r="AW71" s="13">
        <f t="shared" si="15"/>
        <v>0</v>
      </c>
      <c r="AX71" s="11">
        <f t="shared" si="15"/>
        <v>2670173.3200000003</v>
      </c>
    </row>
    <row r="72" spans="2:50" ht="18" customHeight="1" x14ac:dyDescent="0.35">
      <c r="B72" s="132" t="s">
        <v>95</v>
      </c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3"/>
      <c r="AH72" s="123"/>
      <c r="AI72" s="123"/>
      <c r="AJ72" s="123"/>
      <c r="AK72" s="123"/>
      <c r="AL72" s="123"/>
      <c r="AM72" s="123"/>
      <c r="AN72" s="123"/>
      <c r="AO72" s="123"/>
      <c r="AP72" s="123"/>
      <c r="AQ72" s="123"/>
      <c r="AR72" s="123"/>
      <c r="AS72" s="123"/>
      <c r="AT72" s="123"/>
      <c r="AU72" s="123"/>
      <c r="AV72" s="123"/>
      <c r="AW72" s="123"/>
      <c r="AX72" s="123"/>
    </row>
    <row r="73" spans="2:50" ht="6" customHeight="1" x14ac:dyDescent="0.35">
      <c r="B73" s="28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</row>
    <row r="74" spans="2:50" ht="22" customHeight="1" x14ac:dyDescent="0.35">
      <c r="B74" s="161" t="s">
        <v>116</v>
      </c>
      <c r="C74" s="126"/>
      <c r="D74" s="129"/>
      <c r="E74" s="127"/>
      <c r="F74" s="123"/>
      <c r="G74" s="23" t="s">
        <v>91</v>
      </c>
      <c r="H74" s="12">
        <f>J70</f>
        <v>593717.36</v>
      </c>
      <c r="I74" s="10">
        <v>0</v>
      </c>
      <c r="J74" s="11">
        <f>H74+I74</f>
        <v>593717.36</v>
      </c>
      <c r="L74" s="12">
        <f>N70</f>
        <v>727970.79</v>
      </c>
      <c r="M74" s="10">
        <v>0</v>
      </c>
      <c r="N74" s="11">
        <f>L74+M74</f>
        <v>727970.79</v>
      </c>
      <c r="P74" s="12">
        <f>R70</f>
        <v>869923.61</v>
      </c>
      <c r="Q74" s="10">
        <v>0</v>
      </c>
      <c r="R74" s="11">
        <f>P74+Q74</f>
        <v>869923.61</v>
      </c>
      <c r="T74" s="12">
        <f>V70</f>
        <v>688014.82</v>
      </c>
      <c r="U74" s="10">
        <v>0</v>
      </c>
      <c r="V74" s="11">
        <f>T74+U74</f>
        <v>688014.82</v>
      </c>
      <c r="X74" s="12">
        <f>Z70</f>
        <v>33772.5</v>
      </c>
      <c r="Y74" s="10">
        <v>0</v>
      </c>
      <c r="Z74" s="11">
        <f>X74+Y74</f>
        <v>33772.5</v>
      </c>
      <c r="AB74" s="12">
        <f>AD70</f>
        <v>199225.60000000001</v>
      </c>
      <c r="AC74" s="10">
        <v>0</v>
      </c>
      <c r="AD74" s="11">
        <f>AB74+AC74</f>
        <v>199225.60000000001</v>
      </c>
      <c r="AF74" s="12">
        <f>AH70</f>
        <v>268485.99</v>
      </c>
      <c r="AG74" s="10">
        <v>0</v>
      </c>
      <c r="AH74" s="11">
        <f>AF74+AG74</f>
        <v>268485.99</v>
      </c>
      <c r="AJ74" s="12">
        <f>AL70</f>
        <v>132000</v>
      </c>
      <c r="AK74" s="10">
        <v>0</v>
      </c>
      <c r="AL74" s="11">
        <f>AJ74+AK74</f>
        <v>132000</v>
      </c>
      <c r="AN74" s="12">
        <f>AP70</f>
        <v>10144</v>
      </c>
      <c r="AO74" s="10">
        <v>0</v>
      </c>
      <c r="AP74" s="11">
        <f>AN74+AO74</f>
        <v>10144</v>
      </c>
      <c r="AR74" s="12">
        <f>AT70</f>
        <v>10144</v>
      </c>
      <c r="AS74" s="10">
        <v>0</v>
      </c>
      <c r="AT74" s="11">
        <f>AR74+AS74</f>
        <v>10144</v>
      </c>
      <c r="AV74" s="11">
        <f t="shared" ref="AV74:AX75" si="16">H74+L74+P74+T74+X74+AB74+AF74+AJ74+AR74</f>
        <v>3523254.67</v>
      </c>
      <c r="AW74" s="13">
        <f t="shared" si="16"/>
        <v>0</v>
      </c>
      <c r="AX74" s="11">
        <f t="shared" si="16"/>
        <v>3523254.67</v>
      </c>
    </row>
    <row r="75" spans="2:50" ht="20" customHeight="1" x14ac:dyDescent="0.35">
      <c r="B75" s="123"/>
      <c r="C75" s="123"/>
      <c r="D75" s="123"/>
      <c r="E75" s="123"/>
      <c r="F75" s="123"/>
      <c r="G75" s="18" t="s">
        <v>93</v>
      </c>
      <c r="H75" s="12">
        <f>J71</f>
        <v>432918.91000000003</v>
      </c>
      <c r="I75" s="10">
        <v>0</v>
      </c>
      <c r="J75" s="11">
        <f>H75+I75</f>
        <v>432918.91000000003</v>
      </c>
      <c r="L75" s="12">
        <f>N71</f>
        <v>561144.15</v>
      </c>
      <c r="M75" s="10">
        <v>0</v>
      </c>
      <c r="N75" s="11">
        <f>L75+M75</f>
        <v>561144.15</v>
      </c>
      <c r="P75" s="12">
        <f>R71</f>
        <v>670566.12</v>
      </c>
      <c r="Q75" s="10">
        <v>0</v>
      </c>
      <c r="R75" s="11">
        <f>P75+Q75</f>
        <v>670566.12</v>
      </c>
      <c r="T75" s="12">
        <f>V71</f>
        <v>501677.47000000003</v>
      </c>
      <c r="U75" s="10">
        <v>0</v>
      </c>
      <c r="V75" s="11">
        <f>T75+U75</f>
        <v>501677.47000000003</v>
      </c>
      <c r="X75" s="12">
        <f>Z71</f>
        <v>24625.78</v>
      </c>
      <c r="Y75" s="10">
        <v>0</v>
      </c>
      <c r="Z75" s="11">
        <f>X75+Y75</f>
        <v>24625.78</v>
      </c>
      <c r="AB75" s="12">
        <f>AD71</f>
        <v>145268.66999999998</v>
      </c>
      <c r="AC75" s="10">
        <v>0</v>
      </c>
      <c r="AD75" s="11">
        <f>AB75+AC75</f>
        <v>145268.66999999998</v>
      </c>
      <c r="AF75" s="12">
        <f>AH71</f>
        <v>268485.99</v>
      </c>
      <c r="AG75" s="10">
        <v>0</v>
      </c>
      <c r="AH75" s="11">
        <f>AF75+AG75</f>
        <v>268485.99</v>
      </c>
      <c r="AJ75" s="12">
        <f>AL71</f>
        <v>60486.239999999998</v>
      </c>
      <c r="AK75" s="10">
        <v>0</v>
      </c>
      <c r="AL75" s="11">
        <f>AJ75+AK75</f>
        <v>60486.239999999998</v>
      </c>
      <c r="AN75" s="12">
        <f>AP71</f>
        <v>4999.99</v>
      </c>
      <c r="AO75" s="10">
        <v>0</v>
      </c>
      <c r="AP75" s="11">
        <f>AN75+AO75</f>
        <v>4999.99</v>
      </c>
      <c r="AR75" s="12">
        <f>AT71</f>
        <v>4999.99</v>
      </c>
      <c r="AS75" s="10">
        <v>0</v>
      </c>
      <c r="AT75" s="11">
        <f>AR75+AS75</f>
        <v>4999.99</v>
      </c>
      <c r="AV75" s="11">
        <f t="shared" si="16"/>
        <v>2670173.3200000003</v>
      </c>
      <c r="AW75" s="13">
        <f t="shared" si="16"/>
        <v>0</v>
      </c>
      <c r="AX75" s="11">
        <f t="shared" si="16"/>
        <v>2670173.3200000003</v>
      </c>
    </row>
    <row r="76" spans="2:50" ht="18" customHeight="1" x14ac:dyDescent="0.35">
      <c r="B76" s="132" t="s">
        <v>95</v>
      </c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  <c r="AB76" s="123"/>
      <c r="AC76" s="123"/>
      <c r="AD76" s="123"/>
      <c r="AE76" s="123"/>
      <c r="AF76" s="123"/>
      <c r="AG76" s="123"/>
      <c r="AH76" s="123"/>
      <c r="AI76" s="123"/>
      <c r="AJ76" s="123"/>
      <c r="AK76" s="123"/>
      <c r="AL76" s="123"/>
      <c r="AM76" s="123"/>
      <c r="AN76" s="123"/>
      <c r="AO76" s="123"/>
      <c r="AP76" s="123"/>
      <c r="AQ76" s="123"/>
      <c r="AR76" s="123"/>
      <c r="AS76" s="123"/>
      <c r="AT76" s="123"/>
      <c r="AU76" s="123"/>
      <c r="AV76" s="123"/>
      <c r="AW76" s="123"/>
      <c r="AX76" s="123"/>
    </row>
    <row r="77" spans="2:50" ht="6" customHeight="1" x14ac:dyDescent="0.35">
      <c r="B77" s="28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</row>
    <row r="78" spans="2:50" ht="22" customHeight="1" x14ac:dyDescent="0.35">
      <c r="B78" s="136" t="s">
        <v>117</v>
      </c>
      <c r="C78" s="126"/>
      <c r="D78" s="129"/>
      <c r="E78" s="127"/>
      <c r="F78" s="123"/>
      <c r="G78" s="20" t="s">
        <v>91</v>
      </c>
      <c r="H78" s="12">
        <f>J74</f>
        <v>593717.36</v>
      </c>
      <c r="I78" s="10">
        <v>0</v>
      </c>
      <c r="J78" s="11">
        <f>H78+I78</f>
        <v>593717.36</v>
      </c>
      <c r="L78" s="12">
        <f>N74</f>
        <v>727970.79</v>
      </c>
      <c r="M78" s="10">
        <v>0</v>
      </c>
      <c r="N78" s="11">
        <f>L78+M78</f>
        <v>727970.79</v>
      </c>
      <c r="P78" s="12">
        <f>R74</f>
        <v>869923.61</v>
      </c>
      <c r="Q78" s="10">
        <v>0</v>
      </c>
      <c r="R78" s="11">
        <f>P78+Q78</f>
        <v>869923.61</v>
      </c>
      <c r="T78" s="12">
        <f>V74</f>
        <v>688014.82</v>
      </c>
      <c r="U78" s="10">
        <v>0</v>
      </c>
      <c r="V78" s="11">
        <f>T78+U78</f>
        <v>688014.82</v>
      </c>
      <c r="X78" s="12">
        <f>Z74</f>
        <v>33772.5</v>
      </c>
      <c r="Y78" s="10">
        <v>0</v>
      </c>
      <c r="Z78" s="11">
        <f>X78+Y78</f>
        <v>33772.5</v>
      </c>
      <c r="AB78" s="12">
        <f>AD74</f>
        <v>199225.60000000001</v>
      </c>
      <c r="AC78" s="10">
        <v>0</v>
      </c>
      <c r="AD78" s="11">
        <f>AB78+AC78</f>
        <v>199225.60000000001</v>
      </c>
      <c r="AF78" s="12">
        <f>AH74</f>
        <v>268485.99</v>
      </c>
      <c r="AG78" s="10">
        <v>0</v>
      </c>
      <c r="AH78" s="11">
        <f>AF78+AG78</f>
        <v>268485.99</v>
      </c>
      <c r="AJ78" s="12">
        <f>AL74</f>
        <v>132000</v>
      </c>
      <c r="AK78" s="10">
        <v>0</v>
      </c>
      <c r="AL78" s="11">
        <f>AJ78+AK78</f>
        <v>132000</v>
      </c>
      <c r="AN78" s="12">
        <f>AP74</f>
        <v>10144</v>
      </c>
      <c r="AO78" s="10">
        <v>0</v>
      </c>
      <c r="AP78" s="11">
        <f>AN78+AO78</f>
        <v>10144</v>
      </c>
      <c r="AR78" s="12">
        <f>AT74</f>
        <v>10144</v>
      </c>
      <c r="AS78" s="10">
        <v>0</v>
      </c>
      <c r="AT78" s="11">
        <f>AR78+AS78</f>
        <v>10144</v>
      </c>
      <c r="AV78" s="11">
        <f t="shared" ref="AV78:AX79" si="17">H78+L78+P78+T78+X78+AB78+AF78+AJ78+AR78</f>
        <v>3523254.67</v>
      </c>
      <c r="AW78" s="13">
        <f t="shared" si="17"/>
        <v>0</v>
      </c>
      <c r="AX78" s="11">
        <f t="shared" si="17"/>
        <v>3523254.67</v>
      </c>
    </row>
    <row r="79" spans="2:50" ht="20" customHeight="1" x14ac:dyDescent="0.35">
      <c r="B79" s="123"/>
      <c r="C79" s="123"/>
      <c r="D79" s="123"/>
      <c r="E79" s="123"/>
      <c r="F79" s="123"/>
      <c r="G79" s="18" t="s">
        <v>93</v>
      </c>
      <c r="H79" s="12">
        <f>J75</f>
        <v>432918.91000000003</v>
      </c>
      <c r="I79" s="10">
        <v>0</v>
      </c>
      <c r="J79" s="11">
        <f>H79+I79</f>
        <v>432918.91000000003</v>
      </c>
      <c r="L79" s="12">
        <f>N75</f>
        <v>561144.15</v>
      </c>
      <c r="M79" s="10">
        <v>0</v>
      </c>
      <c r="N79" s="11">
        <f>L79+M79</f>
        <v>561144.15</v>
      </c>
      <c r="P79" s="12">
        <f>R75</f>
        <v>670566.12</v>
      </c>
      <c r="Q79" s="10">
        <v>0</v>
      </c>
      <c r="R79" s="11">
        <f>P79+Q79</f>
        <v>670566.12</v>
      </c>
      <c r="T79" s="12">
        <f>V75</f>
        <v>501677.47000000003</v>
      </c>
      <c r="U79" s="10">
        <v>0</v>
      </c>
      <c r="V79" s="11">
        <f>T79+U79</f>
        <v>501677.47000000003</v>
      </c>
      <c r="X79" s="12">
        <f>Z75</f>
        <v>24625.78</v>
      </c>
      <c r="Y79" s="10">
        <v>0</v>
      </c>
      <c r="Z79" s="11">
        <f>X79+Y79</f>
        <v>24625.78</v>
      </c>
      <c r="AB79" s="12">
        <f>AD75</f>
        <v>145268.66999999998</v>
      </c>
      <c r="AC79" s="10">
        <v>0</v>
      </c>
      <c r="AD79" s="11">
        <f>AB79+AC79</f>
        <v>145268.66999999998</v>
      </c>
      <c r="AF79" s="12">
        <f>AH75</f>
        <v>268485.99</v>
      </c>
      <c r="AG79" s="10">
        <v>0</v>
      </c>
      <c r="AH79" s="11">
        <f>AF79+AG79</f>
        <v>268485.99</v>
      </c>
      <c r="AJ79" s="12">
        <f>AL75</f>
        <v>60486.239999999998</v>
      </c>
      <c r="AK79" s="10">
        <v>0</v>
      </c>
      <c r="AL79" s="11">
        <f>AJ79+AK79</f>
        <v>60486.239999999998</v>
      </c>
      <c r="AN79" s="12">
        <f>AP75</f>
        <v>4999.99</v>
      </c>
      <c r="AO79" s="10">
        <v>0</v>
      </c>
      <c r="AP79" s="11">
        <f>AN79+AO79</f>
        <v>4999.99</v>
      </c>
      <c r="AR79" s="12">
        <f>AT75</f>
        <v>4999.99</v>
      </c>
      <c r="AS79" s="10">
        <v>0</v>
      </c>
      <c r="AT79" s="11">
        <f>AR79+AS79</f>
        <v>4999.99</v>
      </c>
      <c r="AV79" s="11">
        <f t="shared" si="17"/>
        <v>2670173.3200000003</v>
      </c>
      <c r="AW79" s="13">
        <f t="shared" si="17"/>
        <v>0</v>
      </c>
      <c r="AX79" s="11">
        <f t="shared" si="17"/>
        <v>2670173.3200000003</v>
      </c>
    </row>
    <row r="80" spans="2:50" ht="18" customHeight="1" x14ac:dyDescent="0.35">
      <c r="B80" s="132" t="s">
        <v>95</v>
      </c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  <c r="AE80" s="123"/>
      <c r="AF80" s="123"/>
      <c r="AG80" s="123"/>
      <c r="AH80" s="123"/>
      <c r="AI80" s="123"/>
      <c r="AJ80" s="123"/>
      <c r="AK80" s="123"/>
      <c r="AL80" s="123"/>
      <c r="AM80" s="123"/>
      <c r="AN80" s="123"/>
      <c r="AO80" s="123"/>
      <c r="AP80" s="123"/>
      <c r="AQ80" s="123"/>
      <c r="AR80" s="123"/>
      <c r="AS80" s="123"/>
      <c r="AT80" s="123"/>
      <c r="AU80" s="123"/>
      <c r="AV80" s="123"/>
      <c r="AW80" s="123"/>
      <c r="AX80" s="123"/>
    </row>
    <row r="81" spans="2:50" ht="6" customHeight="1" x14ac:dyDescent="0.35">
      <c r="B81" s="28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</row>
    <row r="82" spans="2:50" ht="22" customHeight="1" x14ac:dyDescent="0.35">
      <c r="B82" s="156" t="s">
        <v>118</v>
      </c>
      <c r="C82" s="126"/>
      <c r="D82" s="129"/>
      <c r="E82" s="127"/>
      <c r="F82" s="123"/>
      <c r="G82" s="21" t="s">
        <v>91</v>
      </c>
      <c r="H82" s="12">
        <f>J78</f>
        <v>593717.36</v>
      </c>
      <c r="I82" s="10">
        <v>0</v>
      </c>
      <c r="J82" s="11">
        <f>H82+I82</f>
        <v>593717.36</v>
      </c>
      <c r="L82" s="12">
        <f>N78</f>
        <v>727970.79</v>
      </c>
      <c r="M82" s="10">
        <v>0</v>
      </c>
      <c r="N82" s="11">
        <f>L82+M82</f>
        <v>727970.79</v>
      </c>
      <c r="P82" s="12">
        <f>R78</f>
        <v>869923.61</v>
      </c>
      <c r="Q82" s="10">
        <v>0</v>
      </c>
      <c r="R82" s="11">
        <f>P82+Q82</f>
        <v>869923.61</v>
      </c>
      <c r="T82" s="12">
        <f>V78</f>
        <v>688014.82</v>
      </c>
      <c r="U82" s="10">
        <v>0</v>
      </c>
      <c r="V82" s="11">
        <f>T82+U82</f>
        <v>688014.82</v>
      </c>
      <c r="X82" s="12">
        <f>Z78</f>
        <v>33772.5</v>
      </c>
      <c r="Y82" s="10">
        <v>0</v>
      </c>
      <c r="Z82" s="11">
        <f>X82+Y82</f>
        <v>33772.5</v>
      </c>
      <c r="AB82" s="12">
        <f>AD78</f>
        <v>199225.60000000001</v>
      </c>
      <c r="AC82" s="10">
        <v>0</v>
      </c>
      <c r="AD82" s="11">
        <f>AB82+AC82</f>
        <v>199225.60000000001</v>
      </c>
      <c r="AF82" s="12">
        <f>AH78</f>
        <v>268485.99</v>
      </c>
      <c r="AG82" s="10">
        <v>0</v>
      </c>
      <c r="AH82" s="11">
        <f>AF82+AG82</f>
        <v>268485.99</v>
      </c>
      <c r="AJ82" s="12">
        <f>AL78</f>
        <v>132000</v>
      </c>
      <c r="AK82" s="10">
        <v>0</v>
      </c>
      <c r="AL82" s="11">
        <f>AJ82+AK82</f>
        <v>132000</v>
      </c>
      <c r="AN82" s="12">
        <f>AP78</f>
        <v>10144</v>
      </c>
      <c r="AO82" s="10">
        <v>0</v>
      </c>
      <c r="AP82" s="11">
        <f>AN82+AO82</f>
        <v>10144</v>
      </c>
      <c r="AR82" s="12">
        <f>AT78</f>
        <v>10144</v>
      </c>
      <c r="AS82" s="10">
        <v>0</v>
      </c>
      <c r="AT82" s="11">
        <f>AR82+AS82</f>
        <v>10144</v>
      </c>
      <c r="AV82" s="11">
        <f t="shared" ref="AV82:AX83" si="18">H82+L82+P82+T82+X82+AB82+AF82+AJ82+AR82</f>
        <v>3523254.67</v>
      </c>
      <c r="AW82" s="13">
        <f t="shared" si="18"/>
        <v>0</v>
      </c>
      <c r="AX82" s="11">
        <f t="shared" si="18"/>
        <v>3523254.67</v>
      </c>
    </row>
    <row r="83" spans="2:50" ht="20" customHeight="1" x14ac:dyDescent="0.35">
      <c r="B83" s="123"/>
      <c r="C83" s="123"/>
      <c r="D83" s="123"/>
      <c r="E83" s="123"/>
      <c r="F83" s="123"/>
      <c r="G83" s="18" t="s">
        <v>93</v>
      </c>
      <c r="H83" s="12">
        <f>J79</f>
        <v>432918.91000000003</v>
      </c>
      <c r="I83" s="10">
        <v>0</v>
      </c>
      <c r="J83" s="11">
        <f>H83+I83</f>
        <v>432918.91000000003</v>
      </c>
      <c r="L83" s="12">
        <f>N79</f>
        <v>561144.15</v>
      </c>
      <c r="M83" s="10">
        <v>0</v>
      </c>
      <c r="N83" s="11">
        <f>L83+M83</f>
        <v>561144.15</v>
      </c>
      <c r="P83" s="12">
        <f>R79</f>
        <v>670566.12</v>
      </c>
      <c r="Q83" s="10">
        <v>0</v>
      </c>
      <c r="R83" s="11">
        <f>P83+Q83</f>
        <v>670566.12</v>
      </c>
      <c r="T83" s="12">
        <f>V79</f>
        <v>501677.47000000003</v>
      </c>
      <c r="U83" s="10">
        <v>0</v>
      </c>
      <c r="V83" s="11">
        <f>T83+U83</f>
        <v>501677.47000000003</v>
      </c>
      <c r="X83" s="12">
        <f>Z79</f>
        <v>24625.78</v>
      </c>
      <c r="Y83" s="10">
        <v>0</v>
      </c>
      <c r="Z83" s="11">
        <f>X83+Y83</f>
        <v>24625.78</v>
      </c>
      <c r="AB83" s="12">
        <f>AD79</f>
        <v>145268.66999999998</v>
      </c>
      <c r="AC83" s="10">
        <v>0</v>
      </c>
      <c r="AD83" s="11">
        <f>AB83+AC83</f>
        <v>145268.66999999998</v>
      </c>
      <c r="AF83" s="12">
        <f>AH79</f>
        <v>268485.99</v>
      </c>
      <c r="AG83" s="10">
        <v>0</v>
      </c>
      <c r="AH83" s="11">
        <f>AF83+AG83</f>
        <v>268485.99</v>
      </c>
      <c r="AJ83" s="12">
        <f>AL79</f>
        <v>60486.239999999998</v>
      </c>
      <c r="AK83" s="10">
        <v>0</v>
      </c>
      <c r="AL83" s="11">
        <f>AJ83+AK83</f>
        <v>60486.239999999998</v>
      </c>
      <c r="AN83" s="12">
        <f>AP79</f>
        <v>4999.99</v>
      </c>
      <c r="AO83" s="10">
        <v>0</v>
      </c>
      <c r="AP83" s="11">
        <f>AN83+AO83</f>
        <v>4999.99</v>
      </c>
      <c r="AR83" s="12">
        <f>AT79</f>
        <v>4999.99</v>
      </c>
      <c r="AS83" s="10">
        <v>0</v>
      </c>
      <c r="AT83" s="11">
        <f>AR83+AS83</f>
        <v>4999.99</v>
      </c>
      <c r="AV83" s="11">
        <f t="shared" si="18"/>
        <v>2670173.3200000003</v>
      </c>
      <c r="AW83" s="13">
        <f t="shared" si="18"/>
        <v>0</v>
      </c>
      <c r="AX83" s="11">
        <f t="shared" si="18"/>
        <v>2670173.3200000003</v>
      </c>
    </row>
    <row r="84" spans="2:50" ht="18" customHeight="1" x14ac:dyDescent="0.35">
      <c r="B84" s="132" t="s">
        <v>95</v>
      </c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3"/>
      <c r="AT84" s="123"/>
      <c r="AU84" s="123"/>
      <c r="AV84" s="123"/>
      <c r="AW84" s="123"/>
      <c r="AX84" s="123"/>
    </row>
    <row r="85" spans="2:50" ht="6" customHeight="1" x14ac:dyDescent="0.35">
      <c r="B85" s="28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</row>
    <row r="86" spans="2:50" ht="22" customHeight="1" x14ac:dyDescent="0.35">
      <c r="B86" s="128" t="s">
        <v>119</v>
      </c>
      <c r="C86" s="126"/>
      <c r="D86" s="129"/>
      <c r="E86" s="127"/>
      <c r="F86" s="123"/>
      <c r="G86" s="24" t="s">
        <v>91</v>
      </c>
      <c r="H86" s="12">
        <f>J82</f>
        <v>593717.36</v>
      </c>
      <c r="I86" s="10">
        <v>0</v>
      </c>
      <c r="J86" s="11">
        <f>H86+I86</f>
        <v>593717.36</v>
      </c>
      <c r="L86" s="12">
        <f>N82</f>
        <v>727970.79</v>
      </c>
      <c r="M86" s="10">
        <v>0</v>
      </c>
      <c r="N86" s="11">
        <f>L86+M86</f>
        <v>727970.79</v>
      </c>
      <c r="P86" s="12">
        <f>R82</f>
        <v>869923.61</v>
      </c>
      <c r="Q86" s="10">
        <v>0</v>
      </c>
      <c r="R86" s="11">
        <f>P86+Q86</f>
        <v>869923.61</v>
      </c>
      <c r="T86" s="12">
        <f>V82</f>
        <v>688014.82</v>
      </c>
      <c r="U86" s="10">
        <v>0</v>
      </c>
      <c r="V86" s="11">
        <f>T86+U86</f>
        <v>688014.82</v>
      </c>
      <c r="X86" s="12">
        <f>Z82</f>
        <v>33772.5</v>
      </c>
      <c r="Y86" s="10">
        <v>0</v>
      </c>
      <c r="Z86" s="11">
        <f>X86+Y86</f>
        <v>33772.5</v>
      </c>
      <c r="AB86" s="12">
        <f>AD82</f>
        <v>199225.60000000001</v>
      </c>
      <c r="AC86" s="10">
        <v>0</v>
      </c>
      <c r="AD86" s="11">
        <f>AB86+AC86</f>
        <v>199225.60000000001</v>
      </c>
      <c r="AF86" s="12">
        <f>AH82</f>
        <v>268485.99</v>
      </c>
      <c r="AG86" s="10">
        <v>0</v>
      </c>
      <c r="AH86" s="11">
        <f>AF86+AG86</f>
        <v>268485.99</v>
      </c>
      <c r="AJ86" s="12">
        <f>AL82</f>
        <v>132000</v>
      </c>
      <c r="AK86" s="10">
        <v>0</v>
      </c>
      <c r="AL86" s="11">
        <f>AJ86+AK86</f>
        <v>132000</v>
      </c>
      <c r="AN86" s="12">
        <f>AP82</f>
        <v>10144</v>
      </c>
      <c r="AO86" s="10">
        <v>0</v>
      </c>
      <c r="AP86" s="11">
        <f>AN86+AO86</f>
        <v>10144</v>
      </c>
      <c r="AR86" s="12">
        <f>AT82</f>
        <v>10144</v>
      </c>
      <c r="AS86" s="10">
        <v>0</v>
      </c>
      <c r="AT86" s="11">
        <f>AR86+AS86</f>
        <v>10144</v>
      </c>
      <c r="AV86" s="11">
        <f t="shared" ref="AV86:AX87" si="19">H86+L86+P86+T86+X86+AB86+AF86+AJ86+AR86</f>
        <v>3523254.67</v>
      </c>
      <c r="AW86" s="13">
        <f t="shared" si="19"/>
        <v>0</v>
      </c>
      <c r="AX86" s="11">
        <f t="shared" si="19"/>
        <v>3523254.67</v>
      </c>
    </row>
    <row r="87" spans="2:50" ht="20" customHeight="1" x14ac:dyDescent="0.35">
      <c r="B87" s="123"/>
      <c r="C87" s="123"/>
      <c r="D87" s="123"/>
      <c r="E87" s="123"/>
      <c r="F87" s="123"/>
      <c r="G87" s="18" t="s">
        <v>93</v>
      </c>
      <c r="H87" s="12">
        <f>J83</f>
        <v>432918.91000000003</v>
      </c>
      <c r="I87" s="10">
        <v>0</v>
      </c>
      <c r="J87" s="11">
        <f>H87+I87</f>
        <v>432918.91000000003</v>
      </c>
      <c r="L87" s="12">
        <f>N83</f>
        <v>561144.15</v>
      </c>
      <c r="M87" s="10">
        <v>0</v>
      </c>
      <c r="N87" s="11">
        <f>L87+M87</f>
        <v>561144.15</v>
      </c>
      <c r="P87" s="12">
        <f>R83</f>
        <v>670566.12</v>
      </c>
      <c r="Q87" s="10">
        <v>0</v>
      </c>
      <c r="R87" s="11">
        <f>P87+Q87</f>
        <v>670566.12</v>
      </c>
      <c r="T87" s="12">
        <f>V83</f>
        <v>501677.47000000003</v>
      </c>
      <c r="U87" s="10">
        <v>0</v>
      </c>
      <c r="V87" s="11">
        <f>T87+U87</f>
        <v>501677.47000000003</v>
      </c>
      <c r="X87" s="12">
        <f>Z83</f>
        <v>24625.78</v>
      </c>
      <c r="Y87" s="10">
        <v>0</v>
      </c>
      <c r="Z87" s="11">
        <f>X87+Y87</f>
        <v>24625.78</v>
      </c>
      <c r="AB87" s="12">
        <f>AD83</f>
        <v>145268.66999999998</v>
      </c>
      <c r="AC87" s="10">
        <v>0</v>
      </c>
      <c r="AD87" s="11">
        <f>AB87+AC87</f>
        <v>145268.66999999998</v>
      </c>
      <c r="AF87" s="12">
        <f>AH83</f>
        <v>268485.99</v>
      </c>
      <c r="AG87" s="10">
        <v>0</v>
      </c>
      <c r="AH87" s="11">
        <f>AF87+AG87</f>
        <v>268485.99</v>
      </c>
      <c r="AJ87" s="12">
        <f>AL83</f>
        <v>60486.239999999998</v>
      </c>
      <c r="AK87" s="10">
        <v>0</v>
      </c>
      <c r="AL87" s="11">
        <f>AJ87+AK87</f>
        <v>60486.239999999998</v>
      </c>
      <c r="AN87" s="12">
        <f>AP83</f>
        <v>4999.99</v>
      </c>
      <c r="AO87" s="10">
        <v>0</v>
      </c>
      <c r="AP87" s="11">
        <f>AN87+AO87</f>
        <v>4999.99</v>
      </c>
      <c r="AR87" s="12">
        <f>AT83</f>
        <v>4999.99</v>
      </c>
      <c r="AS87" s="10">
        <v>0</v>
      </c>
      <c r="AT87" s="11">
        <f>AR87+AS87</f>
        <v>4999.99</v>
      </c>
      <c r="AV87" s="11">
        <f t="shared" si="19"/>
        <v>2670173.3200000003</v>
      </c>
      <c r="AW87" s="13">
        <f t="shared" si="19"/>
        <v>0</v>
      </c>
      <c r="AX87" s="11">
        <f t="shared" si="19"/>
        <v>2670173.3200000003</v>
      </c>
    </row>
    <row r="88" spans="2:50" ht="18" customHeight="1" x14ac:dyDescent="0.35">
      <c r="B88" s="132" t="s">
        <v>95</v>
      </c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  <c r="AB88" s="123"/>
      <c r="AC88" s="123"/>
      <c r="AD88" s="123"/>
      <c r="AE88" s="123"/>
      <c r="AF88" s="123"/>
      <c r="AG88" s="123"/>
      <c r="AH88" s="123"/>
      <c r="AI88" s="123"/>
      <c r="AJ88" s="123"/>
      <c r="AK88" s="123"/>
      <c r="AL88" s="123"/>
      <c r="AM88" s="123"/>
      <c r="AN88" s="123"/>
      <c r="AO88" s="123"/>
      <c r="AP88" s="123"/>
      <c r="AQ88" s="123"/>
      <c r="AR88" s="123"/>
      <c r="AS88" s="123"/>
      <c r="AT88" s="123"/>
      <c r="AU88" s="123"/>
      <c r="AV88" s="123"/>
      <c r="AW88" s="123"/>
      <c r="AX88" s="123"/>
    </row>
    <row r="89" spans="2:50" ht="6" customHeight="1" x14ac:dyDescent="0.35">
      <c r="B89" s="28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</row>
    <row r="90" spans="2:50" ht="22" customHeight="1" x14ac:dyDescent="0.35">
      <c r="B90" s="138" t="s">
        <v>120</v>
      </c>
      <c r="C90" s="126"/>
      <c r="D90" s="129"/>
      <c r="E90" s="127"/>
      <c r="F90" s="123"/>
      <c r="G90" s="18" t="s">
        <v>91</v>
      </c>
      <c r="H90" s="12">
        <f>J86</f>
        <v>593717.36</v>
      </c>
      <c r="I90" s="10">
        <v>0</v>
      </c>
      <c r="J90" s="11">
        <f>H90+I90</f>
        <v>593717.36</v>
      </c>
      <c r="L90" s="12">
        <f>N86</f>
        <v>727970.79</v>
      </c>
      <c r="M90" s="10">
        <v>0</v>
      </c>
      <c r="N90" s="11">
        <f>L90+M90</f>
        <v>727970.79</v>
      </c>
      <c r="P90" s="12">
        <f>R86</f>
        <v>869923.61</v>
      </c>
      <c r="Q90" s="10">
        <v>0</v>
      </c>
      <c r="R90" s="11">
        <f>P90+Q90</f>
        <v>869923.61</v>
      </c>
      <c r="T90" s="12">
        <f>V86</f>
        <v>688014.82</v>
      </c>
      <c r="U90" s="10">
        <v>0</v>
      </c>
      <c r="V90" s="11">
        <f>T90+U90</f>
        <v>688014.82</v>
      </c>
      <c r="X90" s="12">
        <f>Z86</f>
        <v>33772.5</v>
      </c>
      <c r="Y90" s="10">
        <v>0</v>
      </c>
      <c r="Z90" s="11">
        <f>X90+Y90</f>
        <v>33772.5</v>
      </c>
      <c r="AB90" s="12">
        <f>AD86</f>
        <v>199225.60000000001</v>
      </c>
      <c r="AC90" s="10">
        <v>0</v>
      </c>
      <c r="AD90" s="11">
        <f>AB90+AC90</f>
        <v>199225.60000000001</v>
      </c>
      <c r="AF90" s="12">
        <f>AH86</f>
        <v>268485.99</v>
      </c>
      <c r="AG90" s="10">
        <v>0</v>
      </c>
      <c r="AH90" s="11">
        <f>AF90+AG90</f>
        <v>268485.99</v>
      </c>
      <c r="AJ90" s="12">
        <f>AL86</f>
        <v>132000</v>
      </c>
      <c r="AK90" s="10">
        <v>0</v>
      </c>
      <c r="AL90" s="11">
        <f>AJ90+AK90</f>
        <v>132000</v>
      </c>
      <c r="AN90" s="12">
        <f>AP86</f>
        <v>10144</v>
      </c>
      <c r="AO90" s="10">
        <v>0</v>
      </c>
      <c r="AP90" s="11">
        <f>AN90+AO90</f>
        <v>10144</v>
      </c>
      <c r="AR90" s="12">
        <f>AT86</f>
        <v>10144</v>
      </c>
      <c r="AS90" s="10">
        <v>0</v>
      </c>
      <c r="AT90" s="11">
        <f>AR90+AS90</f>
        <v>10144</v>
      </c>
      <c r="AV90" s="11">
        <f t="shared" ref="AV90:AX91" si="20">H90+L90+P90+T90+X90+AB90+AF90+AJ90+AR90</f>
        <v>3523254.67</v>
      </c>
      <c r="AW90" s="13">
        <f t="shared" si="20"/>
        <v>0</v>
      </c>
      <c r="AX90" s="11">
        <f t="shared" si="20"/>
        <v>3523254.67</v>
      </c>
    </row>
    <row r="91" spans="2:50" ht="20" customHeight="1" x14ac:dyDescent="0.35">
      <c r="B91" s="123"/>
      <c r="C91" s="123"/>
      <c r="D91" s="123"/>
      <c r="E91" s="123"/>
      <c r="F91" s="123"/>
      <c r="G91" s="18" t="s">
        <v>93</v>
      </c>
      <c r="H91" s="12">
        <f>J87</f>
        <v>432918.91000000003</v>
      </c>
      <c r="I91" s="10">
        <v>0</v>
      </c>
      <c r="J91" s="11">
        <f>H91+I91</f>
        <v>432918.91000000003</v>
      </c>
      <c r="L91" s="12">
        <f>N87</f>
        <v>561144.15</v>
      </c>
      <c r="M91" s="10">
        <v>0</v>
      </c>
      <c r="N91" s="11">
        <f>L91+M91</f>
        <v>561144.15</v>
      </c>
      <c r="P91" s="12">
        <f>R87</f>
        <v>670566.12</v>
      </c>
      <c r="Q91" s="10">
        <v>0</v>
      </c>
      <c r="R91" s="11">
        <f>P91+Q91</f>
        <v>670566.12</v>
      </c>
      <c r="T91" s="12">
        <f>V87</f>
        <v>501677.47000000003</v>
      </c>
      <c r="U91" s="10">
        <v>0</v>
      </c>
      <c r="V91" s="11">
        <f>T91+U91</f>
        <v>501677.47000000003</v>
      </c>
      <c r="X91" s="12">
        <f>Z87</f>
        <v>24625.78</v>
      </c>
      <c r="Y91" s="10">
        <v>0</v>
      </c>
      <c r="Z91" s="11">
        <f>X91+Y91</f>
        <v>24625.78</v>
      </c>
      <c r="AB91" s="12">
        <f>AD87</f>
        <v>145268.66999999998</v>
      </c>
      <c r="AC91" s="10">
        <v>0</v>
      </c>
      <c r="AD91" s="11">
        <f>AB91+AC91</f>
        <v>145268.66999999998</v>
      </c>
      <c r="AF91" s="12">
        <f>AH87</f>
        <v>268485.99</v>
      </c>
      <c r="AG91" s="10">
        <v>0</v>
      </c>
      <c r="AH91" s="11">
        <f>AF91+AG91</f>
        <v>268485.99</v>
      </c>
      <c r="AJ91" s="12">
        <f>AL87</f>
        <v>60486.239999999998</v>
      </c>
      <c r="AK91" s="10">
        <v>0</v>
      </c>
      <c r="AL91" s="11">
        <f>AJ91+AK91</f>
        <v>60486.239999999998</v>
      </c>
      <c r="AN91" s="12">
        <f>AP87</f>
        <v>4999.99</v>
      </c>
      <c r="AO91" s="10">
        <v>0</v>
      </c>
      <c r="AP91" s="11">
        <f>AN91+AO91</f>
        <v>4999.99</v>
      </c>
      <c r="AR91" s="12">
        <f>AT87</f>
        <v>4999.99</v>
      </c>
      <c r="AS91" s="10">
        <v>0</v>
      </c>
      <c r="AT91" s="11">
        <f>AR91+AS91</f>
        <v>4999.99</v>
      </c>
      <c r="AV91" s="11">
        <f t="shared" si="20"/>
        <v>2670173.3200000003</v>
      </c>
      <c r="AW91" s="13">
        <f t="shared" si="20"/>
        <v>0</v>
      </c>
      <c r="AX91" s="11">
        <f t="shared" si="20"/>
        <v>2670173.3200000003</v>
      </c>
    </row>
    <row r="92" spans="2:50" ht="18" customHeight="1" x14ac:dyDescent="0.35">
      <c r="B92" s="132" t="s">
        <v>95</v>
      </c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  <c r="AC92" s="123"/>
      <c r="AD92" s="123"/>
      <c r="AE92" s="123"/>
      <c r="AF92" s="123"/>
      <c r="AG92" s="123"/>
      <c r="AH92" s="123"/>
      <c r="AI92" s="123"/>
      <c r="AJ92" s="123"/>
      <c r="AK92" s="123"/>
      <c r="AL92" s="123"/>
      <c r="AM92" s="123"/>
      <c r="AN92" s="123"/>
      <c r="AO92" s="123"/>
      <c r="AP92" s="123"/>
      <c r="AQ92" s="123"/>
      <c r="AR92" s="123"/>
      <c r="AS92" s="123"/>
      <c r="AT92" s="123"/>
      <c r="AU92" s="123"/>
      <c r="AV92" s="123"/>
      <c r="AW92" s="123"/>
      <c r="AX92" s="123"/>
    </row>
    <row r="93" spans="2:50" ht="6" customHeight="1" x14ac:dyDescent="0.35">
      <c r="B93" s="28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</row>
    <row r="94" spans="2:50" ht="22" customHeight="1" x14ac:dyDescent="0.35">
      <c r="B94" s="133" t="s">
        <v>121</v>
      </c>
      <c r="C94" s="126"/>
      <c r="D94" s="129"/>
      <c r="E94" s="127"/>
      <c r="F94" s="123"/>
      <c r="G94" s="22" t="s">
        <v>91</v>
      </c>
      <c r="H94" s="12">
        <f>J90</f>
        <v>593717.36</v>
      </c>
      <c r="I94" s="10">
        <v>0</v>
      </c>
      <c r="J94" s="11">
        <f>H94+I94</f>
        <v>593717.36</v>
      </c>
      <c r="L94" s="12">
        <f>N90</f>
        <v>727970.79</v>
      </c>
      <c r="M94" s="10">
        <v>0</v>
      </c>
      <c r="N94" s="11">
        <f>L94+M94</f>
        <v>727970.79</v>
      </c>
      <c r="P94" s="12">
        <f>R90</f>
        <v>869923.61</v>
      </c>
      <c r="Q94" s="10">
        <v>0</v>
      </c>
      <c r="R94" s="11">
        <f>P94+Q94</f>
        <v>869923.61</v>
      </c>
      <c r="T94" s="12">
        <f>V90</f>
        <v>688014.82</v>
      </c>
      <c r="U94" s="10">
        <v>0</v>
      </c>
      <c r="V94" s="11">
        <f>T94+U94</f>
        <v>688014.82</v>
      </c>
      <c r="X94" s="12">
        <f>Z90</f>
        <v>33772.5</v>
      </c>
      <c r="Y94" s="10">
        <v>0</v>
      </c>
      <c r="Z94" s="11">
        <f>X94+Y94</f>
        <v>33772.5</v>
      </c>
      <c r="AB94" s="12">
        <f>AD90</f>
        <v>199225.60000000001</v>
      </c>
      <c r="AC94" s="10">
        <v>0</v>
      </c>
      <c r="AD94" s="11">
        <f>AB94+AC94</f>
        <v>199225.60000000001</v>
      </c>
      <c r="AF94" s="12">
        <f>AH90</f>
        <v>268485.99</v>
      </c>
      <c r="AG94" s="10">
        <v>0</v>
      </c>
      <c r="AH94" s="11">
        <f>AF94+AG94</f>
        <v>268485.99</v>
      </c>
      <c r="AJ94" s="12">
        <f>AL90</f>
        <v>132000</v>
      </c>
      <c r="AK94" s="10">
        <v>0</v>
      </c>
      <c r="AL94" s="11">
        <f>AJ94+AK94</f>
        <v>132000</v>
      </c>
      <c r="AN94" s="12">
        <f>AP90</f>
        <v>10144</v>
      </c>
      <c r="AO94" s="10">
        <v>0</v>
      </c>
      <c r="AP94" s="11">
        <f>AN94+AO94</f>
        <v>10144</v>
      </c>
      <c r="AR94" s="12">
        <f>AT90</f>
        <v>10144</v>
      </c>
      <c r="AS94" s="10">
        <v>0</v>
      </c>
      <c r="AT94" s="11">
        <f>AR94+AS94</f>
        <v>10144</v>
      </c>
      <c r="AV94" s="11">
        <f t="shared" ref="AV94:AX95" si="21">H94+L94+P94+T94+X94+AB94+AF94+AJ94+AR94</f>
        <v>3523254.67</v>
      </c>
      <c r="AW94" s="13">
        <f t="shared" si="21"/>
        <v>0</v>
      </c>
      <c r="AX94" s="11">
        <f t="shared" si="21"/>
        <v>3523254.67</v>
      </c>
    </row>
    <row r="95" spans="2:50" ht="20" customHeight="1" x14ac:dyDescent="0.35">
      <c r="B95" s="123"/>
      <c r="C95" s="123"/>
      <c r="D95" s="123"/>
      <c r="E95" s="123"/>
      <c r="F95" s="123"/>
      <c r="G95" s="18" t="s">
        <v>93</v>
      </c>
      <c r="H95" s="12">
        <f>J91</f>
        <v>432918.91000000003</v>
      </c>
      <c r="I95" s="10">
        <v>0</v>
      </c>
      <c r="J95" s="11">
        <f>H95+I95</f>
        <v>432918.91000000003</v>
      </c>
      <c r="L95" s="12">
        <f>N91</f>
        <v>561144.15</v>
      </c>
      <c r="M95" s="10">
        <v>0</v>
      </c>
      <c r="N95" s="11">
        <f>L95+M95</f>
        <v>561144.15</v>
      </c>
      <c r="P95" s="12">
        <f>R91</f>
        <v>670566.12</v>
      </c>
      <c r="Q95" s="10">
        <v>0</v>
      </c>
      <c r="R95" s="11">
        <f>P95+Q95</f>
        <v>670566.12</v>
      </c>
      <c r="T95" s="12">
        <f>V91</f>
        <v>501677.47000000003</v>
      </c>
      <c r="U95" s="10">
        <v>0</v>
      </c>
      <c r="V95" s="11">
        <f>T95+U95</f>
        <v>501677.47000000003</v>
      </c>
      <c r="X95" s="12">
        <f>Z91</f>
        <v>24625.78</v>
      </c>
      <c r="Y95" s="10">
        <v>0</v>
      </c>
      <c r="Z95" s="11">
        <f>X95+Y95</f>
        <v>24625.78</v>
      </c>
      <c r="AB95" s="12">
        <f>AD91</f>
        <v>145268.66999999998</v>
      </c>
      <c r="AC95" s="10">
        <v>0</v>
      </c>
      <c r="AD95" s="11">
        <f>AB95+AC95</f>
        <v>145268.66999999998</v>
      </c>
      <c r="AF95" s="12">
        <f>AH91</f>
        <v>268485.99</v>
      </c>
      <c r="AG95" s="10">
        <v>0</v>
      </c>
      <c r="AH95" s="11">
        <f>AF95+AG95</f>
        <v>268485.99</v>
      </c>
      <c r="AJ95" s="12">
        <f>AL91</f>
        <v>60486.239999999998</v>
      </c>
      <c r="AK95" s="10">
        <v>0</v>
      </c>
      <c r="AL95" s="11">
        <f>AJ95+AK95</f>
        <v>60486.239999999998</v>
      </c>
      <c r="AN95" s="12">
        <f>AP91</f>
        <v>4999.99</v>
      </c>
      <c r="AO95" s="10">
        <v>0</v>
      </c>
      <c r="AP95" s="11">
        <f>AN95+AO95</f>
        <v>4999.99</v>
      </c>
      <c r="AR95" s="12">
        <f>AT91</f>
        <v>4999.99</v>
      </c>
      <c r="AS95" s="10">
        <v>0</v>
      </c>
      <c r="AT95" s="11">
        <f>AR95+AS95</f>
        <v>4999.99</v>
      </c>
      <c r="AV95" s="11">
        <f t="shared" si="21"/>
        <v>2670173.3200000003</v>
      </c>
      <c r="AW95" s="13">
        <f t="shared" si="21"/>
        <v>0</v>
      </c>
      <c r="AX95" s="11">
        <f t="shared" si="21"/>
        <v>2670173.3200000003</v>
      </c>
    </row>
    <row r="96" spans="2:50" ht="18" customHeight="1" x14ac:dyDescent="0.35">
      <c r="B96" s="132" t="s">
        <v>95</v>
      </c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3"/>
      <c r="AT96" s="123"/>
      <c r="AU96" s="123"/>
      <c r="AV96" s="123"/>
      <c r="AW96" s="123"/>
      <c r="AX96" s="123"/>
    </row>
    <row r="97" spans="2:50" ht="6" customHeight="1" x14ac:dyDescent="0.35">
      <c r="B97" s="28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</row>
    <row r="98" spans="2:50" ht="22" customHeight="1" x14ac:dyDescent="0.35">
      <c r="B98" s="153" t="s">
        <v>122</v>
      </c>
      <c r="C98" s="126"/>
      <c r="D98" s="129"/>
      <c r="E98" s="127"/>
      <c r="F98" s="123"/>
      <c r="G98" s="25" t="s">
        <v>91</v>
      </c>
      <c r="H98" s="12">
        <f>J94</f>
        <v>593717.36</v>
      </c>
      <c r="I98" s="10">
        <v>0</v>
      </c>
      <c r="J98" s="11">
        <f>H98+I98</f>
        <v>593717.36</v>
      </c>
      <c r="L98" s="12">
        <f>N94</f>
        <v>727970.79</v>
      </c>
      <c r="M98" s="10">
        <v>0</v>
      </c>
      <c r="N98" s="11">
        <f>L98+M98</f>
        <v>727970.79</v>
      </c>
      <c r="P98" s="12">
        <f>R94</f>
        <v>869923.61</v>
      </c>
      <c r="Q98" s="10">
        <v>0</v>
      </c>
      <c r="R98" s="11">
        <f>P98+Q98</f>
        <v>869923.61</v>
      </c>
      <c r="T98" s="12">
        <f>V94</f>
        <v>688014.82</v>
      </c>
      <c r="U98" s="10">
        <v>0</v>
      </c>
      <c r="V98" s="11">
        <f>T98+U98</f>
        <v>688014.82</v>
      </c>
      <c r="X98" s="12">
        <f>Z94</f>
        <v>33772.5</v>
      </c>
      <c r="Y98" s="10">
        <v>0</v>
      </c>
      <c r="Z98" s="11">
        <f>X98+Y98</f>
        <v>33772.5</v>
      </c>
      <c r="AB98" s="12">
        <f>AD94</f>
        <v>199225.60000000001</v>
      </c>
      <c r="AC98" s="10">
        <v>0</v>
      </c>
      <c r="AD98" s="11">
        <f>AB98+AC98</f>
        <v>199225.60000000001</v>
      </c>
      <c r="AF98" s="12">
        <f>AH94</f>
        <v>268485.99</v>
      </c>
      <c r="AG98" s="10">
        <v>0</v>
      </c>
      <c r="AH98" s="11">
        <f>AF98+AG98</f>
        <v>268485.99</v>
      </c>
      <c r="AJ98" s="12">
        <f>AL94</f>
        <v>132000</v>
      </c>
      <c r="AK98" s="10">
        <v>0</v>
      </c>
      <c r="AL98" s="11">
        <f>AJ98+AK98</f>
        <v>132000</v>
      </c>
      <c r="AN98" s="12">
        <f>AP94</f>
        <v>10144</v>
      </c>
      <c r="AO98" s="10">
        <v>0</v>
      </c>
      <c r="AP98" s="11">
        <f>AN98+AO98</f>
        <v>10144</v>
      </c>
      <c r="AR98" s="12">
        <f>AT94</f>
        <v>10144</v>
      </c>
      <c r="AS98" s="10">
        <v>0</v>
      </c>
      <c r="AT98" s="11">
        <f>AR98+AS98</f>
        <v>10144</v>
      </c>
      <c r="AV98" s="11">
        <f t="shared" ref="AV98:AX99" si="22">H98+L98+P98+T98+X98+AB98+AF98+AJ98+AR98</f>
        <v>3523254.67</v>
      </c>
      <c r="AW98" s="13">
        <f t="shared" si="22"/>
        <v>0</v>
      </c>
      <c r="AX98" s="11">
        <f t="shared" si="22"/>
        <v>3523254.67</v>
      </c>
    </row>
    <row r="99" spans="2:50" ht="20" customHeight="1" x14ac:dyDescent="0.35">
      <c r="B99" s="123"/>
      <c r="C99" s="123"/>
      <c r="D99" s="123"/>
      <c r="E99" s="123"/>
      <c r="F99" s="123"/>
      <c r="G99" s="18" t="s">
        <v>93</v>
      </c>
      <c r="H99" s="12">
        <f>J95</f>
        <v>432918.91000000003</v>
      </c>
      <c r="I99" s="10">
        <v>0</v>
      </c>
      <c r="J99" s="11">
        <f>H99+I99</f>
        <v>432918.91000000003</v>
      </c>
      <c r="L99" s="12">
        <f>N95</f>
        <v>561144.15</v>
      </c>
      <c r="M99" s="10">
        <v>0</v>
      </c>
      <c r="N99" s="11">
        <f>L99+M99</f>
        <v>561144.15</v>
      </c>
      <c r="P99" s="12">
        <f>R95</f>
        <v>670566.12</v>
      </c>
      <c r="Q99" s="10">
        <v>0</v>
      </c>
      <c r="R99" s="11">
        <f>P99+Q99</f>
        <v>670566.12</v>
      </c>
      <c r="T99" s="12">
        <f>V95</f>
        <v>501677.47000000003</v>
      </c>
      <c r="U99" s="10">
        <v>0</v>
      </c>
      <c r="V99" s="11">
        <f>T99+U99</f>
        <v>501677.47000000003</v>
      </c>
      <c r="X99" s="12">
        <f>Z95</f>
        <v>24625.78</v>
      </c>
      <c r="Y99" s="10">
        <v>0</v>
      </c>
      <c r="Z99" s="11">
        <f>X99+Y99</f>
        <v>24625.78</v>
      </c>
      <c r="AB99" s="12">
        <f>AD95</f>
        <v>145268.66999999998</v>
      </c>
      <c r="AC99" s="10">
        <v>0</v>
      </c>
      <c r="AD99" s="11">
        <f>AB99+AC99</f>
        <v>145268.66999999998</v>
      </c>
      <c r="AF99" s="12">
        <f>AH95</f>
        <v>268485.99</v>
      </c>
      <c r="AG99" s="10">
        <v>0</v>
      </c>
      <c r="AH99" s="11">
        <f>AF99+AG99</f>
        <v>268485.99</v>
      </c>
      <c r="AJ99" s="12">
        <f>AL95</f>
        <v>60486.239999999998</v>
      </c>
      <c r="AK99" s="10">
        <v>0</v>
      </c>
      <c r="AL99" s="11">
        <f>AJ99+AK99</f>
        <v>60486.239999999998</v>
      </c>
      <c r="AN99" s="12">
        <f>AP95</f>
        <v>4999.99</v>
      </c>
      <c r="AO99" s="10">
        <v>0</v>
      </c>
      <c r="AP99" s="11">
        <f>AN99+AO99</f>
        <v>4999.99</v>
      </c>
      <c r="AR99" s="12">
        <f>AT95</f>
        <v>4999.99</v>
      </c>
      <c r="AS99" s="10">
        <v>0</v>
      </c>
      <c r="AT99" s="11">
        <f>AR99+AS99</f>
        <v>4999.99</v>
      </c>
      <c r="AV99" s="11">
        <f t="shared" si="22"/>
        <v>2670173.3200000003</v>
      </c>
      <c r="AW99" s="13">
        <f t="shared" si="22"/>
        <v>0</v>
      </c>
      <c r="AX99" s="11">
        <f t="shared" si="22"/>
        <v>2670173.3200000003</v>
      </c>
    </row>
    <row r="100" spans="2:50" ht="18" customHeight="1" x14ac:dyDescent="0.35">
      <c r="B100" s="132" t="s">
        <v>95</v>
      </c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3"/>
      <c r="AH100" s="123"/>
      <c r="AI100" s="123"/>
      <c r="AJ100" s="123"/>
      <c r="AK100" s="123"/>
      <c r="AL100" s="123"/>
      <c r="AM100" s="123"/>
      <c r="AN100" s="123"/>
      <c r="AO100" s="123"/>
      <c r="AP100" s="123"/>
      <c r="AQ100" s="123"/>
      <c r="AR100" s="123"/>
      <c r="AS100" s="123"/>
      <c r="AT100" s="123"/>
      <c r="AU100" s="123"/>
      <c r="AV100" s="123"/>
      <c r="AW100" s="123"/>
      <c r="AX100" s="123"/>
    </row>
    <row r="101" spans="2:50" ht="6" customHeight="1" x14ac:dyDescent="0.35">
      <c r="B101" s="28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</row>
    <row r="102" spans="2:50" ht="22" customHeight="1" x14ac:dyDescent="0.35">
      <c r="B102" s="143" t="s">
        <v>123</v>
      </c>
      <c r="C102" s="126"/>
      <c r="D102" s="129"/>
      <c r="E102" s="127"/>
      <c r="F102" s="123"/>
      <c r="G102" s="19" t="s">
        <v>91</v>
      </c>
      <c r="H102" s="12">
        <f>J98</f>
        <v>593717.36</v>
      </c>
      <c r="I102" s="10">
        <v>0</v>
      </c>
      <c r="J102" s="11">
        <f>H102+I102</f>
        <v>593717.36</v>
      </c>
      <c r="L102" s="12">
        <f>N98</f>
        <v>727970.79</v>
      </c>
      <c r="M102" s="10">
        <v>0</v>
      </c>
      <c r="N102" s="11">
        <f>L102+M102</f>
        <v>727970.79</v>
      </c>
      <c r="P102" s="12">
        <f>R98</f>
        <v>869923.61</v>
      </c>
      <c r="Q102" s="10">
        <v>0</v>
      </c>
      <c r="R102" s="11">
        <f>P102+Q102</f>
        <v>869923.61</v>
      </c>
      <c r="T102" s="12">
        <f>V98</f>
        <v>688014.82</v>
      </c>
      <c r="U102" s="10">
        <v>0</v>
      </c>
      <c r="V102" s="11">
        <f>T102+U102</f>
        <v>688014.82</v>
      </c>
      <c r="X102" s="12">
        <f>Z98</f>
        <v>33772.5</v>
      </c>
      <c r="Y102" s="10">
        <v>0</v>
      </c>
      <c r="Z102" s="11">
        <f>X102+Y102</f>
        <v>33772.5</v>
      </c>
      <c r="AB102" s="12">
        <f>AD98</f>
        <v>199225.60000000001</v>
      </c>
      <c r="AC102" s="10">
        <v>0</v>
      </c>
      <c r="AD102" s="11">
        <f>AB102+AC102</f>
        <v>199225.60000000001</v>
      </c>
      <c r="AF102" s="12">
        <f>AH98</f>
        <v>268485.99</v>
      </c>
      <c r="AG102" s="10">
        <v>0</v>
      </c>
      <c r="AH102" s="11">
        <f>AF102+AG102</f>
        <v>268485.99</v>
      </c>
      <c r="AJ102" s="12">
        <f>AL98</f>
        <v>132000</v>
      </c>
      <c r="AK102" s="10">
        <v>0</v>
      </c>
      <c r="AL102" s="11">
        <f>AJ102+AK102</f>
        <v>132000</v>
      </c>
      <c r="AN102" s="12">
        <f>AP98</f>
        <v>10144</v>
      </c>
      <c r="AO102" s="10">
        <v>0</v>
      </c>
      <c r="AP102" s="11">
        <f>AN102+AO102</f>
        <v>10144</v>
      </c>
      <c r="AR102" s="12">
        <f>AT98</f>
        <v>10144</v>
      </c>
      <c r="AS102" s="10">
        <v>0</v>
      </c>
      <c r="AT102" s="11">
        <f>AR102+AS102</f>
        <v>10144</v>
      </c>
      <c r="AV102" s="11">
        <f t="shared" ref="AV102:AX103" si="23">H102+L102+P102+T102+X102+AB102+AF102+AJ102+AR102</f>
        <v>3523254.67</v>
      </c>
      <c r="AW102" s="13">
        <f t="shared" si="23"/>
        <v>0</v>
      </c>
      <c r="AX102" s="11">
        <f t="shared" si="23"/>
        <v>3523254.67</v>
      </c>
    </row>
    <row r="103" spans="2:50" ht="20" customHeight="1" x14ac:dyDescent="0.35">
      <c r="B103" s="123"/>
      <c r="C103" s="123"/>
      <c r="D103" s="123"/>
      <c r="E103" s="123"/>
      <c r="F103" s="123"/>
      <c r="G103" s="18" t="s">
        <v>93</v>
      </c>
      <c r="H103" s="12">
        <f>J99</f>
        <v>432918.91000000003</v>
      </c>
      <c r="I103" s="10">
        <v>0</v>
      </c>
      <c r="J103" s="11">
        <f>H103+I103</f>
        <v>432918.91000000003</v>
      </c>
      <c r="L103" s="12">
        <f>N99</f>
        <v>561144.15</v>
      </c>
      <c r="M103" s="10">
        <v>0</v>
      </c>
      <c r="N103" s="11">
        <f>L103+M103</f>
        <v>561144.15</v>
      </c>
      <c r="P103" s="12">
        <f>R99</f>
        <v>670566.12</v>
      </c>
      <c r="Q103" s="10">
        <v>0</v>
      </c>
      <c r="R103" s="11">
        <f>P103+Q103</f>
        <v>670566.12</v>
      </c>
      <c r="T103" s="12">
        <f>V99</f>
        <v>501677.47000000003</v>
      </c>
      <c r="U103" s="10">
        <v>0</v>
      </c>
      <c r="V103" s="11">
        <f>T103+U103</f>
        <v>501677.47000000003</v>
      </c>
      <c r="X103" s="12">
        <f>Z99</f>
        <v>24625.78</v>
      </c>
      <c r="Y103" s="10">
        <v>0</v>
      </c>
      <c r="Z103" s="11">
        <f>X103+Y103</f>
        <v>24625.78</v>
      </c>
      <c r="AB103" s="12">
        <f>AD99</f>
        <v>145268.66999999998</v>
      </c>
      <c r="AC103" s="10">
        <v>0</v>
      </c>
      <c r="AD103" s="11">
        <f>AB103+AC103</f>
        <v>145268.66999999998</v>
      </c>
      <c r="AF103" s="12">
        <f>AH99</f>
        <v>268485.99</v>
      </c>
      <c r="AG103" s="10">
        <v>0</v>
      </c>
      <c r="AH103" s="11">
        <f>AF103+AG103</f>
        <v>268485.99</v>
      </c>
      <c r="AJ103" s="12">
        <f>AL99</f>
        <v>60486.239999999998</v>
      </c>
      <c r="AK103" s="10">
        <v>0</v>
      </c>
      <c r="AL103" s="11">
        <f>AJ103+AK103</f>
        <v>60486.239999999998</v>
      </c>
      <c r="AN103" s="12">
        <f>AP99</f>
        <v>4999.99</v>
      </c>
      <c r="AO103" s="10">
        <v>0</v>
      </c>
      <c r="AP103" s="11">
        <f>AN103+AO103</f>
        <v>4999.99</v>
      </c>
      <c r="AR103" s="12">
        <f>AT99</f>
        <v>4999.99</v>
      </c>
      <c r="AS103" s="10">
        <v>0</v>
      </c>
      <c r="AT103" s="11">
        <f>AR103+AS103</f>
        <v>4999.99</v>
      </c>
      <c r="AV103" s="11">
        <f t="shared" si="23"/>
        <v>2670173.3200000003</v>
      </c>
      <c r="AW103" s="13">
        <f t="shared" si="23"/>
        <v>0</v>
      </c>
      <c r="AX103" s="11">
        <f t="shared" si="23"/>
        <v>2670173.3200000003</v>
      </c>
    </row>
    <row r="104" spans="2:50" ht="18" customHeight="1" x14ac:dyDescent="0.35">
      <c r="B104" s="132" t="s">
        <v>95</v>
      </c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  <c r="AC104" s="123"/>
      <c r="AD104" s="123"/>
      <c r="AE104" s="123"/>
      <c r="AF104" s="123"/>
      <c r="AG104" s="123"/>
      <c r="AH104" s="123"/>
      <c r="AI104" s="123"/>
      <c r="AJ104" s="123"/>
      <c r="AK104" s="123"/>
      <c r="AL104" s="123"/>
      <c r="AM104" s="123"/>
      <c r="AN104" s="123"/>
      <c r="AO104" s="123"/>
      <c r="AP104" s="123"/>
      <c r="AQ104" s="123"/>
      <c r="AR104" s="123"/>
      <c r="AS104" s="123"/>
      <c r="AT104" s="123"/>
      <c r="AU104" s="123"/>
      <c r="AV104" s="123"/>
      <c r="AW104" s="123"/>
      <c r="AX104" s="123"/>
    </row>
    <row r="105" spans="2:50" ht="6" customHeight="1" x14ac:dyDescent="0.35">
      <c r="B105" s="28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</row>
    <row r="106" spans="2:50" ht="22" customHeight="1" x14ac:dyDescent="0.35">
      <c r="B106" s="138" t="s">
        <v>124</v>
      </c>
      <c r="C106" s="126"/>
      <c r="D106" s="129"/>
      <c r="E106" s="127"/>
      <c r="F106" s="123"/>
      <c r="G106" s="18" t="s">
        <v>91</v>
      </c>
      <c r="H106" s="12">
        <f>J102</f>
        <v>593717.36</v>
      </c>
      <c r="I106" s="10">
        <v>0</v>
      </c>
      <c r="J106" s="11">
        <f>H106+I106</f>
        <v>593717.36</v>
      </c>
      <c r="L106" s="12">
        <f>N102</f>
        <v>727970.79</v>
      </c>
      <c r="M106" s="10">
        <v>0</v>
      </c>
      <c r="N106" s="11">
        <f>L106+M106</f>
        <v>727970.79</v>
      </c>
      <c r="P106" s="12">
        <f>R102</f>
        <v>869923.61</v>
      </c>
      <c r="Q106" s="10">
        <v>0</v>
      </c>
      <c r="R106" s="11">
        <f>P106+Q106</f>
        <v>869923.61</v>
      </c>
      <c r="T106" s="12">
        <f>V102</f>
        <v>688014.82</v>
      </c>
      <c r="U106" s="10">
        <v>0</v>
      </c>
      <c r="V106" s="11">
        <f>T106+U106</f>
        <v>688014.82</v>
      </c>
      <c r="X106" s="12">
        <f>Z102</f>
        <v>33772.5</v>
      </c>
      <c r="Y106" s="10">
        <v>0</v>
      </c>
      <c r="Z106" s="11">
        <f>X106+Y106</f>
        <v>33772.5</v>
      </c>
      <c r="AB106" s="12">
        <f>AD102</f>
        <v>199225.60000000001</v>
      </c>
      <c r="AC106" s="10">
        <v>0</v>
      </c>
      <c r="AD106" s="11">
        <f>AB106+AC106</f>
        <v>199225.60000000001</v>
      </c>
      <c r="AF106" s="12">
        <f>AH102</f>
        <v>268485.99</v>
      </c>
      <c r="AG106" s="10">
        <v>0</v>
      </c>
      <c r="AH106" s="11">
        <f>AF106+AG106</f>
        <v>268485.99</v>
      </c>
      <c r="AJ106" s="12">
        <f>AL102</f>
        <v>132000</v>
      </c>
      <c r="AK106" s="10">
        <v>0</v>
      </c>
      <c r="AL106" s="11">
        <f>AJ106+AK106</f>
        <v>132000</v>
      </c>
      <c r="AN106" s="12">
        <f>AP102</f>
        <v>10144</v>
      </c>
      <c r="AO106" s="10">
        <v>0</v>
      </c>
      <c r="AP106" s="11">
        <f>AN106+AO106</f>
        <v>10144</v>
      </c>
      <c r="AR106" s="12">
        <f>AT102</f>
        <v>10144</v>
      </c>
      <c r="AS106" s="10">
        <v>0</v>
      </c>
      <c r="AT106" s="11">
        <f>AR106+AS106</f>
        <v>10144</v>
      </c>
      <c r="AV106" s="11">
        <f t="shared" ref="AV106:AX107" si="24">H106+L106+P106+T106+X106+AB106+AF106+AJ106+AR106</f>
        <v>3523254.67</v>
      </c>
      <c r="AW106" s="13">
        <f t="shared" si="24"/>
        <v>0</v>
      </c>
      <c r="AX106" s="11">
        <f t="shared" si="24"/>
        <v>3523254.67</v>
      </c>
    </row>
    <row r="107" spans="2:50" ht="20" customHeight="1" x14ac:dyDescent="0.35">
      <c r="B107" s="123"/>
      <c r="C107" s="123"/>
      <c r="D107" s="123"/>
      <c r="E107" s="123"/>
      <c r="F107" s="123"/>
      <c r="G107" s="18" t="s">
        <v>93</v>
      </c>
      <c r="H107" s="12">
        <f>J103</f>
        <v>432918.91000000003</v>
      </c>
      <c r="I107" s="10">
        <v>0</v>
      </c>
      <c r="J107" s="11">
        <f>H107+I107</f>
        <v>432918.91000000003</v>
      </c>
      <c r="L107" s="12">
        <f>N103</f>
        <v>561144.15</v>
      </c>
      <c r="M107" s="10">
        <v>0</v>
      </c>
      <c r="N107" s="11">
        <f>L107+M107</f>
        <v>561144.15</v>
      </c>
      <c r="P107" s="12">
        <f>R103</f>
        <v>670566.12</v>
      </c>
      <c r="Q107" s="10">
        <v>0</v>
      </c>
      <c r="R107" s="11">
        <f>P107+Q107</f>
        <v>670566.12</v>
      </c>
      <c r="T107" s="12">
        <f>V103</f>
        <v>501677.47000000003</v>
      </c>
      <c r="U107" s="10">
        <v>0</v>
      </c>
      <c r="V107" s="11">
        <f>T107+U107</f>
        <v>501677.47000000003</v>
      </c>
      <c r="X107" s="12">
        <f>Z103</f>
        <v>24625.78</v>
      </c>
      <c r="Y107" s="10">
        <v>0</v>
      </c>
      <c r="Z107" s="11">
        <f>X107+Y107</f>
        <v>24625.78</v>
      </c>
      <c r="AB107" s="12">
        <f>AD103</f>
        <v>145268.66999999998</v>
      </c>
      <c r="AC107" s="10">
        <v>0</v>
      </c>
      <c r="AD107" s="11">
        <f>AB107+AC107</f>
        <v>145268.66999999998</v>
      </c>
      <c r="AF107" s="12">
        <f>AH103</f>
        <v>268485.99</v>
      </c>
      <c r="AG107" s="10">
        <v>0</v>
      </c>
      <c r="AH107" s="11">
        <f>AF107+AG107</f>
        <v>268485.99</v>
      </c>
      <c r="AJ107" s="12">
        <f>AL103</f>
        <v>60486.239999999998</v>
      </c>
      <c r="AK107" s="10">
        <v>0</v>
      </c>
      <c r="AL107" s="11">
        <f>AJ107+AK107</f>
        <v>60486.239999999998</v>
      </c>
      <c r="AN107" s="12">
        <f>AP103</f>
        <v>4999.99</v>
      </c>
      <c r="AO107" s="10">
        <v>0</v>
      </c>
      <c r="AP107" s="11">
        <f>AN107+AO107</f>
        <v>4999.99</v>
      </c>
      <c r="AR107" s="12">
        <f>AT103</f>
        <v>4999.99</v>
      </c>
      <c r="AS107" s="10">
        <v>0</v>
      </c>
      <c r="AT107" s="11">
        <f>AR107+AS107</f>
        <v>4999.99</v>
      </c>
      <c r="AV107" s="11">
        <f t="shared" si="24"/>
        <v>2670173.3200000003</v>
      </c>
      <c r="AW107" s="13">
        <f t="shared" si="24"/>
        <v>0</v>
      </c>
      <c r="AX107" s="11">
        <f t="shared" si="24"/>
        <v>2670173.3200000003</v>
      </c>
    </row>
    <row r="108" spans="2:50" ht="18" customHeight="1" x14ac:dyDescent="0.35">
      <c r="B108" s="132" t="s">
        <v>95</v>
      </c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3"/>
      <c r="AH108" s="123"/>
      <c r="AI108" s="123"/>
      <c r="AJ108" s="123"/>
      <c r="AK108" s="123"/>
      <c r="AL108" s="123"/>
      <c r="AM108" s="123"/>
      <c r="AN108" s="123"/>
      <c r="AO108" s="123"/>
      <c r="AP108" s="123"/>
      <c r="AQ108" s="123"/>
      <c r="AR108" s="123"/>
      <c r="AS108" s="123"/>
      <c r="AT108" s="123"/>
      <c r="AU108" s="123"/>
      <c r="AV108" s="123"/>
      <c r="AW108" s="123"/>
      <c r="AX108" s="123"/>
    </row>
    <row r="109" spans="2:50" ht="6" customHeight="1" x14ac:dyDescent="0.35">
      <c r="B109" s="28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</row>
    <row r="110" spans="2:50" ht="15" thickBot="1" x14ac:dyDescent="0.4"/>
    <row r="111" spans="2:50" ht="24" customHeight="1" thickBot="1" x14ac:dyDescent="0.4">
      <c r="B111" s="164" t="s">
        <v>125</v>
      </c>
      <c r="C111" s="123"/>
      <c r="D111" s="123"/>
      <c r="E111" s="123"/>
      <c r="F111" s="123"/>
      <c r="G111" s="19" t="s">
        <v>91</v>
      </c>
      <c r="H111" s="15" t="s">
        <v>126</v>
      </c>
      <c r="I111" s="16"/>
      <c r="J111" s="17">
        <f>J106</f>
        <v>593717.36</v>
      </c>
      <c r="L111" s="15" t="s">
        <v>126</v>
      </c>
      <c r="M111" s="16"/>
      <c r="N111" s="17">
        <f>N106</f>
        <v>727970.79</v>
      </c>
      <c r="P111" s="15" t="s">
        <v>126</v>
      </c>
      <c r="Q111" s="16"/>
      <c r="R111" s="17">
        <f>R106</f>
        <v>869923.61</v>
      </c>
      <c r="T111" s="15" t="s">
        <v>126</v>
      </c>
      <c r="U111" s="16"/>
      <c r="V111" s="17">
        <f>V106</f>
        <v>688014.82</v>
      </c>
      <c r="X111" s="15" t="s">
        <v>126</v>
      </c>
      <c r="Y111" s="16"/>
      <c r="Z111" s="17">
        <f>Z106</f>
        <v>33772.5</v>
      </c>
      <c r="AB111" s="15" t="s">
        <v>126</v>
      </c>
      <c r="AC111" s="16"/>
      <c r="AD111" s="17">
        <f>AD106</f>
        <v>199225.60000000001</v>
      </c>
      <c r="AF111" s="15" t="s">
        <v>126</v>
      </c>
      <c r="AG111" s="16"/>
      <c r="AH111" s="17">
        <f>AH106</f>
        <v>268485.99</v>
      </c>
      <c r="AJ111" s="15" t="s">
        <v>126</v>
      </c>
      <c r="AK111" s="16"/>
      <c r="AL111" s="17">
        <f>AL106</f>
        <v>132000</v>
      </c>
      <c r="AN111" s="15" t="s">
        <v>126</v>
      </c>
      <c r="AO111" s="16"/>
      <c r="AP111" s="17">
        <f>AP106</f>
        <v>10144</v>
      </c>
      <c r="AR111" s="15" t="s">
        <v>126</v>
      </c>
      <c r="AS111" s="16"/>
      <c r="AT111" s="17">
        <f>AT106</f>
        <v>10144</v>
      </c>
      <c r="AV111" s="15" t="s">
        <v>126</v>
      </c>
      <c r="AW111" s="16"/>
      <c r="AX111" s="17">
        <f>AX106</f>
        <v>3523254.67</v>
      </c>
    </row>
    <row r="112" spans="2:50" ht="22" customHeight="1" thickBot="1" x14ac:dyDescent="0.4">
      <c r="B112" s="123"/>
      <c r="C112" s="123"/>
      <c r="D112" s="123"/>
      <c r="E112" s="123"/>
      <c r="F112" s="123"/>
      <c r="G112" s="19" t="s">
        <v>93</v>
      </c>
      <c r="H112" s="15" t="s">
        <v>126</v>
      </c>
      <c r="I112" s="16"/>
      <c r="J112" s="17">
        <f>J107</f>
        <v>432918.91000000003</v>
      </c>
      <c r="L112" s="15" t="s">
        <v>126</v>
      </c>
      <c r="M112" s="16"/>
      <c r="N112" s="17">
        <f>N107</f>
        <v>561144.15</v>
      </c>
      <c r="P112" s="15" t="s">
        <v>126</v>
      </c>
      <c r="Q112" s="16"/>
      <c r="R112" s="17">
        <f>R107</f>
        <v>670566.12</v>
      </c>
      <c r="T112" s="15" t="s">
        <v>126</v>
      </c>
      <c r="U112" s="16"/>
      <c r="V112" s="17">
        <f>V107</f>
        <v>501677.47000000003</v>
      </c>
      <c r="X112" s="15" t="s">
        <v>126</v>
      </c>
      <c r="Y112" s="16"/>
      <c r="Z112" s="17">
        <f>Z107</f>
        <v>24625.78</v>
      </c>
      <c r="AB112" s="15" t="s">
        <v>126</v>
      </c>
      <c r="AC112" s="16"/>
      <c r="AD112" s="17">
        <f>AD107</f>
        <v>145268.66999999998</v>
      </c>
      <c r="AF112" s="15" t="s">
        <v>126</v>
      </c>
      <c r="AG112" s="16"/>
      <c r="AH112" s="17">
        <f>AH107</f>
        <v>268485.99</v>
      </c>
      <c r="AJ112" s="15" t="s">
        <v>126</v>
      </c>
      <c r="AK112" s="16"/>
      <c r="AL112" s="17">
        <f>AL107</f>
        <v>60486.239999999998</v>
      </c>
      <c r="AN112" s="15" t="s">
        <v>126</v>
      </c>
      <c r="AO112" s="16"/>
      <c r="AP112" s="17">
        <f>AP107</f>
        <v>4999.99</v>
      </c>
      <c r="AR112" s="15" t="s">
        <v>126</v>
      </c>
      <c r="AS112" s="16"/>
      <c r="AT112" s="17">
        <f>AT107</f>
        <v>4999.99</v>
      </c>
      <c r="AV112" s="15" t="s">
        <v>126</v>
      </c>
      <c r="AW112" s="16"/>
      <c r="AX112" s="17">
        <f>AX107</f>
        <v>2670173.3200000003</v>
      </c>
    </row>
  </sheetData>
  <mergeCells count="181">
    <mergeCell ref="B102:B103"/>
    <mergeCell ref="D46:D47"/>
    <mergeCell ref="B111:F112"/>
    <mergeCell ref="B50:B51"/>
    <mergeCell ref="D50:D51"/>
    <mergeCell ref="AB5:AB6"/>
    <mergeCell ref="D22:D23"/>
    <mergeCell ref="E106:F107"/>
    <mergeCell ref="B10:B11"/>
    <mergeCell ref="I5:I6"/>
    <mergeCell ref="D106:D107"/>
    <mergeCell ref="B28:AX28"/>
    <mergeCell ref="U5:U6"/>
    <mergeCell ref="B74:B75"/>
    <mergeCell ref="D74:D75"/>
    <mergeCell ref="B68:AX68"/>
    <mergeCell ref="E5:F6"/>
    <mergeCell ref="B92:AX92"/>
    <mergeCell ref="E14:F15"/>
    <mergeCell ref="D58:D59"/>
    <mergeCell ref="B5:B6"/>
    <mergeCell ref="D5:D6"/>
    <mergeCell ref="E82:F83"/>
    <mergeCell ref="B20:AX20"/>
    <mergeCell ref="B98:B99"/>
    <mergeCell ref="B44:AX44"/>
    <mergeCell ref="B34:B35"/>
    <mergeCell ref="C70:C71"/>
    <mergeCell ref="D54:D55"/>
    <mergeCell ref="AG5:AG6"/>
    <mergeCell ref="D10:D11"/>
    <mergeCell ref="E42:F43"/>
    <mergeCell ref="B36:AX36"/>
    <mergeCell ref="AW5:AW6"/>
    <mergeCell ref="D38:D39"/>
    <mergeCell ref="AH5:AH6"/>
    <mergeCell ref="B62:B63"/>
    <mergeCell ref="E46:F47"/>
    <mergeCell ref="B70:B71"/>
    <mergeCell ref="B56:AX56"/>
    <mergeCell ref="AD5:AD6"/>
    <mergeCell ref="B76:AX76"/>
    <mergeCell ref="E78:F79"/>
    <mergeCell ref="B66:B67"/>
    <mergeCell ref="D82:D83"/>
    <mergeCell ref="B96:AX96"/>
    <mergeCell ref="D70:D71"/>
    <mergeCell ref="B46:B47"/>
    <mergeCell ref="B108:AX108"/>
    <mergeCell ref="AV5:AV6"/>
    <mergeCell ref="E22:F23"/>
    <mergeCell ref="B84:AX84"/>
    <mergeCell ref="E102:F103"/>
    <mergeCell ref="C78:C79"/>
    <mergeCell ref="D42:D43"/>
    <mergeCell ref="D14:D15"/>
    <mergeCell ref="C62:C63"/>
    <mergeCell ref="C106:C107"/>
    <mergeCell ref="B80:AX80"/>
    <mergeCell ref="P5:P6"/>
    <mergeCell ref="H5:H6"/>
    <mergeCell ref="R5:R6"/>
    <mergeCell ref="J5:J6"/>
    <mergeCell ref="C38:C39"/>
    <mergeCell ref="B22:B23"/>
    <mergeCell ref="T5:T6"/>
    <mergeCell ref="E38:F39"/>
    <mergeCell ref="V5:V6"/>
    <mergeCell ref="D94:D95"/>
    <mergeCell ref="D98:D99"/>
    <mergeCell ref="D34:D35"/>
    <mergeCell ref="B26:B27"/>
    <mergeCell ref="B3:AX3"/>
    <mergeCell ref="C5:C6"/>
    <mergeCell ref="E74:F75"/>
    <mergeCell ref="Y5:Y6"/>
    <mergeCell ref="B18:B19"/>
    <mergeCell ref="C42:C43"/>
    <mergeCell ref="E90:F91"/>
    <mergeCell ref="B52:AX52"/>
    <mergeCell ref="AV4:AX4"/>
    <mergeCell ref="L4:N4"/>
    <mergeCell ref="C50:C51"/>
    <mergeCell ref="B82:B83"/>
    <mergeCell ref="B7:D8"/>
    <mergeCell ref="AC5:AC6"/>
    <mergeCell ref="C22:C23"/>
    <mergeCell ref="B60:AX60"/>
    <mergeCell ref="T4:V4"/>
    <mergeCell ref="B38:B39"/>
    <mergeCell ref="C26:C27"/>
    <mergeCell ref="AK5:AK6"/>
    <mergeCell ref="E26:F27"/>
    <mergeCell ref="B88:AX88"/>
    <mergeCell ref="C90:C91"/>
    <mergeCell ref="E50:F51"/>
    <mergeCell ref="B1:AX1"/>
    <mergeCell ref="C46:C47"/>
    <mergeCell ref="X5:X6"/>
    <mergeCell ref="E62:F63"/>
    <mergeCell ref="Z5:Z6"/>
    <mergeCell ref="AJ5:AJ6"/>
    <mergeCell ref="AL5:AL6"/>
    <mergeCell ref="B40:AX40"/>
    <mergeCell ref="C82:C83"/>
    <mergeCell ref="B24:AX24"/>
    <mergeCell ref="B64:AX64"/>
    <mergeCell ref="B30:B31"/>
    <mergeCell ref="D30:D31"/>
    <mergeCell ref="B32:AX32"/>
    <mergeCell ref="D26:D27"/>
    <mergeCell ref="E10:F11"/>
    <mergeCell ref="C34:C35"/>
    <mergeCell ref="C74:C75"/>
    <mergeCell ref="H4:J4"/>
    <mergeCell ref="E34:F35"/>
    <mergeCell ref="B2:AX2"/>
    <mergeCell ref="AS5:AS6"/>
    <mergeCell ref="D66:D67"/>
    <mergeCell ref="B72:AX72"/>
    <mergeCell ref="B100:AX100"/>
    <mergeCell ref="C14:C15"/>
    <mergeCell ref="C98:C99"/>
    <mergeCell ref="B106:B107"/>
    <mergeCell ref="Q5:Q6"/>
    <mergeCell ref="B90:B91"/>
    <mergeCell ref="E86:F87"/>
    <mergeCell ref="B12:AX12"/>
    <mergeCell ref="C54:C55"/>
    <mergeCell ref="E30:F31"/>
    <mergeCell ref="B58:B59"/>
    <mergeCell ref="E70:F71"/>
    <mergeCell ref="AF5:AF6"/>
    <mergeCell ref="E7:F8"/>
    <mergeCell ref="D102:D103"/>
    <mergeCell ref="B104:AX104"/>
    <mergeCell ref="C102:C103"/>
    <mergeCell ref="E98:F99"/>
    <mergeCell ref="B94:B95"/>
    <mergeCell ref="E58:F59"/>
    <mergeCell ref="B54:B55"/>
    <mergeCell ref="C86:C87"/>
    <mergeCell ref="C18:C19"/>
    <mergeCell ref="B16:AX16"/>
    <mergeCell ref="B86:B87"/>
    <mergeCell ref="D86:D87"/>
    <mergeCell ref="C94:C95"/>
    <mergeCell ref="C10:C11"/>
    <mergeCell ref="B42:B43"/>
    <mergeCell ref="B48:AX48"/>
    <mergeCell ref="E54:F55"/>
    <mergeCell ref="B14:B15"/>
    <mergeCell ref="L5:L6"/>
    <mergeCell ref="AX5:AX6"/>
    <mergeCell ref="N5:N6"/>
    <mergeCell ref="B78:B79"/>
    <mergeCell ref="D78:D79"/>
    <mergeCell ref="E66:F67"/>
    <mergeCell ref="E18:F19"/>
    <mergeCell ref="D62:D63"/>
    <mergeCell ref="G5:G6"/>
    <mergeCell ref="D18:D19"/>
    <mergeCell ref="C66:C67"/>
    <mergeCell ref="C58:C59"/>
    <mergeCell ref="D90:D91"/>
    <mergeCell ref="M5:M6"/>
    <mergeCell ref="AN4:AP4"/>
    <mergeCell ref="AN5:AN6"/>
    <mergeCell ref="AO5:AO6"/>
    <mergeCell ref="AP5:AP6"/>
    <mergeCell ref="X4:Z4"/>
    <mergeCell ref="C30:C31"/>
    <mergeCell ref="E94:F95"/>
    <mergeCell ref="AR5:AR6"/>
    <mergeCell ref="AT5:AT6"/>
    <mergeCell ref="AF4:AH4"/>
    <mergeCell ref="P4:R4"/>
    <mergeCell ref="AB4:AD4"/>
    <mergeCell ref="AR4:AT4"/>
    <mergeCell ref="AJ4:AL4"/>
    <mergeCell ref="B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7A8C"/>
  </sheetPr>
  <dimension ref="A1:AG38"/>
  <sheetViews>
    <sheetView showGridLines="0" topLeftCell="A3" zoomScaleNormal="130" workbookViewId="0">
      <selection activeCell="D33" sqref="D33:E37"/>
    </sheetView>
  </sheetViews>
  <sheetFormatPr defaultColWidth="8.6328125" defaultRowHeight="14.5" x14ac:dyDescent="0.35"/>
  <cols>
    <col min="1" max="1" width="2" customWidth="1"/>
    <col min="2" max="2" width="7" customWidth="1"/>
    <col min="3" max="3" width="27" customWidth="1"/>
    <col min="4" max="4" width="22" customWidth="1"/>
    <col min="5" max="5" width="15" customWidth="1"/>
    <col min="6" max="6" width="13" customWidth="1"/>
    <col min="7" max="7" width="9.36328125" customWidth="1"/>
    <col min="8" max="8" width="9" customWidth="1"/>
    <col min="9" max="9" width="13" customWidth="1"/>
    <col min="10" max="10" width="9" customWidth="1"/>
    <col min="11" max="11" width="13" customWidth="1"/>
    <col min="12" max="12" width="9" customWidth="1"/>
    <col min="13" max="13" width="13" customWidth="1"/>
    <col min="14" max="14" width="9" customWidth="1"/>
    <col min="15" max="15" width="13" customWidth="1"/>
    <col min="16" max="16" width="9" customWidth="1"/>
    <col min="17" max="17" width="13" customWidth="1"/>
    <col min="18" max="18" width="9" customWidth="1"/>
    <col min="19" max="19" width="13" customWidth="1"/>
    <col min="20" max="20" width="9" customWidth="1"/>
    <col min="21" max="21" width="13" customWidth="1"/>
    <col min="22" max="22" width="9" customWidth="1"/>
    <col min="23" max="23" width="13" customWidth="1"/>
    <col min="24" max="24" width="9" customWidth="1"/>
    <col min="25" max="25" width="13" customWidth="1"/>
    <col min="26" max="26" width="9" customWidth="1"/>
    <col min="27" max="27" width="13" customWidth="1"/>
    <col min="28" max="28" width="9" customWidth="1"/>
    <col min="29" max="29" width="13" customWidth="1"/>
    <col min="30" max="30" width="9" customWidth="1"/>
    <col min="31" max="31" width="13" customWidth="1"/>
    <col min="32" max="32" width="11" customWidth="1"/>
    <col min="33" max="33" width="14" customWidth="1"/>
  </cols>
  <sheetData>
    <row r="1" spans="1:33" ht="30" customHeight="1" x14ac:dyDescent="0.35">
      <c r="A1" s="167" t="s">
        <v>127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</row>
    <row r="2" spans="1:33" ht="18" customHeight="1" x14ac:dyDescent="0.35">
      <c r="A2" s="175" t="s">
        <v>128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</row>
    <row r="3" spans="1:33" ht="21.75" customHeight="1" x14ac:dyDescent="0.35">
      <c r="A3" s="182" t="s">
        <v>129</v>
      </c>
      <c r="B3" s="110"/>
      <c r="C3" s="110"/>
      <c r="D3" s="110"/>
      <c r="E3" s="110"/>
      <c r="F3" s="110"/>
      <c r="G3" s="27"/>
      <c r="H3" s="51" t="s">
        <v>130</v>
      </c>
      <c r="I3" s="52">
        <v>0.08</v>
      </c>
      <c r="J3" s="183" t="s">
        <v>131</v>
      </c>
      <c r="K3" s="110"/>
      <c r="L3" s="110"/>
      <c r="M3" s="110"/>
      <c r="N3" s="110"/>
      <c r="O3" s="110"/>
      <c r="P3" s="110"/>
      <c r="Q3" s="110"/>
    </row>
    <row r="4" spans="1:33" ht="21.75" customHeight="1" x14ac:dyDescent="0.35">
      <c r="A4" s="176" t="s">
        <v>38</v>
      </c>
      <c r="B4" s="163"/>
      <c r="C4" s="171" t="s">
        <v>132</v>
      </c>
      <c r="D4" s="171" t="s">
        <v>133</v>
      </c>
      <c r="E4" s="171" t="s">
        <v>134</v>
      </c>
      <c r="F4" s="171" t="s">
        <v>135</v>
      </c>
      <c r="G4" s="178" t="s">
        <v>136</v>
      </c>
      <c r="H4" s="181" t="s">
        <v>137</v>
      </c>
      <c r="I4" s="110"/>
      <c r="J4" s="173" t="s">
        <v>138</v>
      </c>
      <c r="K4" s="110"/>
      <c r="L4" s="173" t="s">
        <v>139</v>
      </c>
      <c r="M4" s="110"/>
      <c r="N4" s="173" t="s">
        <v>140</v>
      </c>
      <c r="O4" s="110"/>
      <c r="P4" s="173" t="s">
        <v>141</v>
      </c>
      <c r="Q4" s="110"/>
      <c r="R4" s="173" t="s">
        <v>142</v>
      </c>
      <c r="S4" s="110"/>
      <c r="T4" s="173" t="s">
        <v>143</v>
      </c>
      <c r="U4" s="110"/>
      <c r="V4" s="173" t="s">
        <v>144</v>
      </c>
      <c r="W4" s="110"/>
      <c r="X4" s="173" t="s">
        <v>145</v>
      </c>
      <c r="Y4" s="110"/>
      <c r="Z4" s="173" t="s">
        <v>146</v>
      </c>
      <c r="AA4" s="110"/>
      <c r="AB4" s="173" t="s">
        <v>147</v>
      </c>
      <c r="AC4" s="110"/>
      <c r="AD4" s="173" t="s">
        <v>148</v>
      </c>
      <c r="AE4" s="110"/>
      <c r="AF4" s="174" t="s">
        <v>149</v>
      </c>
      <c r="AG4" s="110"/>
    </row>
    <row r="5" spans="1:33" ht="18" customHeight="1" x14ac:dyDescent="0.35">
      <c r="A5" s="115"/>
      <c r="B5" s="177"/>
      <c r="C5" s="172"/>
      <c r="D5" s="172"/>
      <c r="E5" s="172"/>
      <c r="F5" s="172"/>
      <c r="G5" s="179"/>
      <c r="H5" s="41" t="s">
        <v>150</v>
      </c>
      <c r="I5" s="41" t="s">
        <v>151</v>
      </c>
      <c r="J5" s="41" t="s">
        <v>150</v>
      </c>
      <c r="K5" s="41" t="s">
        <v>151</v>
      </c>
      <c r="L5" s="41" t="s">
        <v>150</v>
      </c>
      <c r="M5" s="41" t="s">
        <v>151</v>
      </c>
      <c r="N5" s="41" t="s">
        <v>150</v>
      </c>
      <c r="O5" s="41" t="s">
        <v>151</v>
      </c>
      <c r="P5" s="41" t="s">
        <v>150</v>
      </c>
      <c r="Q5" s="41" t="s">
        <v>151</v>
      </c>
      <c r="R5" s="41" t="s">
        <v>150</v>
      </c>
      <c r="S5" s="41" t="s">
        <v>151</v>
      </c>
      <c r="T5" s="41" t="s">
        <v>150</v>
      </c>
      <c r="U5" s="41" t="s">
        <v>151</v>
      </c>
      <c r="V5" s="41" t="s">
        <v>150</v>
      </c>
      <c r="W5" s="41" t="s">
        <v>151</v>
      </c>
      <c r="X5" s="41" t="s">
        <v>150</v>
      </c>
      <c r="Y5" s="41" t="s">
        <v>151</v>
      </c>
      <c r="Z5" s="41" t="s">
        <v>150</v>
      </c>
      <c r="AA5" s="41" t="s">
        <v>151</v>
      </c>
      <c r="AB5" s="41" t="s">
        <v>150</v>
      </c>
      <c r="AC5" s="41" t="s">
        <v>151</v>
      </c>
      <c r="AD5" s="41" t="s">
        <v>150</v>
      </c>
      <c r="AE5" s="41" t="s">
        <v>151</v>
      </c>
      <c r="AF5" s="41" t="s">
        <v>152</v>
      </c>
      <c r="AG5" s="41" t="s">
        <v>153</v>
      </c>
    </row>
    <row r="6" spans="1:33" ht="21.75" customHeight="1" x14ac:dyDescent="0.35">
      <c r="A6" s="170" t="s">
        <v>154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</row>
    <row r="7" spans="1:33" ht="18" customHeight="1" x14ac:dyDescent="0.35">
      <c r="A7" s="168">
        <v>1006</v>
      </c>
      <c r="B7" s="108"/>
      <c r="C7" s="43" t="s">
        <v>155</v>
      </c>
      <c r="D7" s="54"/>
      <c r="E7" s="42"/>
      <c r="F7" s="55">
        <v>146.63</v>
      </c>
      <c r="G7" s="55"/>
      <c r="H7" s="56">
        <v>104</v>
      </c>
      <c r="I7" s="57">
        <f>IFERROR(H7*$F$7*(1+$I$3),0)</f>
        <v>16469.481600000003</v>
      </c>
      <c r="J7" s="56">
        <v>88</v>
      </c>
      <c r="K7" s="57">
        <f>IFERROR(J7*$F$7*(1+$I$3),0)</f>
        <v>13935.715199999999</v>
      </c>
      <c r="L7" s="56">
        <v>84</v>
      </c>
      <c r="M7" s="57">
        <f>IFERROR(L7*$F$7*(1+$I$3),0)</f>
        <v>13302.2736</v>
      </c>
      <c r="N7" s="56">
        <v>84</v>
      </c>
      <c r="O7" s="57">
        <f>IFERROR(N7*$F$7*(1+$I$3),0)</f>
        <v>13302.2736</v>
      </c>
      <c r="P7" s="56">
        <v>92</v>
      </c>
      <c r="Q7" s="57">
        <f>IFERROR(P7*$F$7*(1+$I$3),0)</f>
        <v>14569.156800000001</v>
      </c>
      <c r="R7" s="56">
        <v>84</v>
      </c>
      <c r="S7" s="57">
        <f>IFERROR(R7*$F$7*(1+$I$3),0)</f>
        <v>13302.2736</v>
      </c>
      <c r="T7" s="56">
        <v>88</v>
      </c>
      <c r="U7" s="57">
        <f>IFERROR(T7*$F$7*(1+$I$3),0)</f>
        <v>13935.715199999999</v>
      </c>
      <c r="V7" s="56">
        <v>88</v>
      </c>
      <c r="W7" s="57">
        <f>IFERROR(V7*$F$7*(1+$I$3),0)</f>
        <v>13935.715199999999</v>
      </c>
      <c r="X7" s="56">
        <v>80</v>
      </c>
      <c r="Y7" s="57">
        <f>IFERROR(X7*$F$7*(1+$I$3),0)</f>
        <v>12668.832</v>
      </c>
      <c r="Z7" s="56">
        <v>88</v>
      </c>
      <c r="AA7" s="57">
        <f>IFERROR(Z7*$F$7*(1+$I$3),0)</f>
        <v>13935.715199999999</v>
      </c>
      <c r="AB7" s="56">
        <v>80</v>
      </c>
      <c r="AC7" s="57">
        <f>IFERROR(AB7*$F$7*(1+$I$3),0)</f>
        <v>12668.832</v>
      </c>
      <c r="AD7" s="56">
        <v>68</v>
      </c>
      <c r="AE7" s="57">
        <f>IFERROR(AD7*$F$7*(1+$I$3),0)</f>
        <v>10768.5072</v>
      </c>
      <c r="AF7" s="58">
        <f t="shared" ref="AF7:AF15" si="0">H7+J7+L7+N7+P7+R7+T7+V7+X7+Z7+AB7+AD7</f>
        <v>1028</v>
      </c>
      <c r="AG7" s="57">
        <f t="shared" ref="AG7:AG15" si="1">I7+K7+M7+O7+Q7+S7+U7+W7+Y7+AA7+AC7+AE7</f>
        <v>162794.49119999999</v>
      </c>
    </row>
    <row r="8" spans="1:33" ht="18" customHeight="1" x14ac:dyDescent="0.35">
      <c r="A8" s="180">
        <v>1006</v>
      </c>
      <c r="B8" s="108"/>
      <c r="C8" s="47" t="s">
        <v>155</v>
      </c>
      <c r="D8" s="60"/>
      <c r="E8" s="46"/>
      <c r="F8" s="55">
        <v>128.32</v>
      </c>
      <c r="G8" s="55"/>
      <c r="H8" s="56">
        <v>0</v>
      </c>
      <c r="I8" s="61">
        <f>IFERROR(H8*$F$8*(1+$I$3),0)</f>
        <v>0</v>
      </c>
      <c r="J8" s="56">
        <v>88</v>
      </c>
      <c r="K8" s="61">
        <f>IFERROR(J8*$F$8*(1+$I$3),0)</f>
        <v>12195.532800000001</v>
      </c>
      <c r="L8" s="56">
        <v>84</v>
      </c>
      <c r="M8" s="61">
        <f>IFERROR(L8*$F$8*(1+$I$3),0)</f>
        <v>11641.190399999999</v>
      </c>
      <c r="N8" s="56">
        <v>84</v>
      </c>
      <c r="O8" s="61">
        <f>IFERROR(N8*$F$8*(1+$I$3),0)</f>
        <v>11641.190399999999</v>
      </c>
      <c r="P8" s="56">
        <v>92</v>
      </c>
      <c r="Q8" s="61">
        <f>IFERROR(P8*$F$8*(1+$I$3),0)</f>
        <v>12749.875199999999</v>
      </c>
      <c r="R8" s="56">
        <v>84</v>
      </c>
      <c r="S8" s="61">
        <f>IFERROR(R8*$F$8*(1+$I$3),0)</f>
        <v>11641.190399999999</v>
      </c>
      <c r="T8" s="56">
        <v>88</v>
      </c>
      <c r="U8" s="61">
        <f>IFERROR(T8*$F$8*(1+$I$3),0)</f>
        <v>12195.532800000001</v>
      </c>
      <c r="V8" s="56">
        <v>88</v>
      </c>
      <c r="W8" s="61">
        <f>IFERROR(V8*$F$8*(1+$I$3),0)</f>
        <v>12195.532800000001</v>
      </c>
      <c r="X8" s="56">
        <v>80</v>
      </c>
      <c r="Y8" s="61">
        <f>IFERROR(X8*$F$8*(1+$I$3),0)</f>
        <v>11086.848</v>
      </c>
      <c r="Z8" s="56">
        <v>88</v>
      </c>
      <c r="AA8" s="61">
        <f>IFERROR(Z8*$F$8*(1+$I$3),0)</f>
        <v>12195.532800000001</v>
      </c>
      <c r="AB8" s="56">
        <v>80</v>
      </c>
      <c r="AC8" s="61">
        <f>IFERROR(AB8*$F$8*(1+$I$3),0)</f>
        <v>11086.848</v>
      </c>
      <c r="AD8" s="56">
        <v>68</v>
      </c>
      <c r="AE8" s="61">
        <f>IFERROR(AD8*$F$8*(1+$I$3),0)</f>
        <v>9423.8208000000013</v>
      </c>
      <c r="AF8" s="62">
        <f t="shared" si="0"/>
        <v>924</v>
      </c>
      <c r="AG8" s="61">
        <f t="shared" si="1"/>
        <v>128053.09439999999</v>
      </c>
    </row>
    <row r="9" spans="1:33" ht="18" customHeight="1" x14ac:dyDescent="0.35">
      <c r="A9" s="168">
        <v>1006</v>
      </c>
      <c r="B9" s="108"/>
      <c r="C9" s="43" t="s">
        <v>155</v>
      </c>
      <c r="D9" s="54"/>
      <c r="E9" s="42"/>
      <c r="F9" s="55">
        <v>131.57</v>
      </c>
      <c r="G9" s="55"/>
      <c r="H9" s="56">
        <v>104</v>
      </c>
      <c r="I9" s="57">
        <f>IFERROR(H9*$F$9*(1+$I$3),0)</f>
        <v>14777.9424</v>
      </c>
      <c r="J9" s="56">
        <v>88</v>
      </c>
      <c r="K9" s="63">
        <v>11578.68</v>
      </c>
      <c r="L9" s="56">
        <v>80</v>
      </c>
      <c r="M9" s="64">
        <v>10525.68</v>
      </c>
      <c r="N9" s="56">
        <v>88</v>
      </c>
      <c r="O9" s="63">
        <v>11578.68</v>
      </c>
      <c r="P9" s="56">
        <v>88</v>
      </c>
      <c r="Q9" s="64">
        <v>11578.68</v>
      </c>
      <c r="R9" s="56">
        <v>84</v>
      </c>
      <c r="S9" s="63">
        <v>11052.18</v>
      </c>
      <c r="T9" s="56">
        <v>84</v>
      </c>
      <c r="U9" s="63">
        <v>11052.18</v>
      </c>
      <c r="V9" s="56">
        <v>88</v>
      </c>
      <c r="W9" s="63">
        <v>11578.68</v>
      </c>
      <c r="X9" s="56">
        <v>76</v>
      </c>
      <c r="Y9" s="64">
        <v>9999.7199999999993</v>
      </c>
      <c r="Z9" s="56">
        <v>80</v>
      </c>
      <c r="AA9" s="63">
        <v>10525.68</v>
      </c>
      <c r="AB9" s="56">
        <v>76</v>
      </c>
      <c r="AC9" s="64">
        <v>9999.7199999999993</v>
      </c>
      <c r="AD9" s="56">
        <v>68</v>
      </c>
      <c r="AE9" s="63">
        <v>8946.7199999999993</v>
      </c>
      <c r="AF9" s="58">
        <f t="shared" si="0"/>
        <v>1004</v>
      </c>
      <c r="AG9" s="57">
        <f t="shared" si="1"/>
        <v>133194.54239999998</v>
      </c>
    </row>
    <row r="10" spans="1:33" ht="18" customHeight="1" x14ac:dyDescent="0.35">
      <c r="A10" s="180">
        <v>1006</v>
      </c>
      <c r="B10" s="108"/>
      <c r="C10" s="47" t="s">
        <v>156</v>
      </c>
      <c r="D10" s="60"/>
      <c r="E10" s="46"/>
      <c r="F10" s="55">
        <v>159.18</v>
      </c>
      <c r="G10" s="55"/>
      <c r="H10" s="56">
        <v>104</v>
      </c>
      <c r="I10" s="61">
        <f>IFERROR(H10*$F$10*(1+$I$3),0)</f>
        <v>17879.097600000001</v>
      </c>
      <c r="J10" s="56">
        <v>88</v>
      </c>
      <c r="K10" s="61">
        <f>IFERROR(J10*$F$10*(1+$I$3),0)</f>
        <v>15128.467200000001</v>
      </c>
      <c r="L10" s="56">
        <v>84</v>
      </c>
      <c r="M10" s="61">
        <f>IFERROR(L10*$F$10*(1+$I$3),0)</f>
        <v>14440.809600000002</v>
      </c>
      <c r="N10" s="56">
        <v>84</v>
      </c>
      <c r="O10" s="61">
        <f>IFERROR(N10*$F$10*(1+$I$3),0)</f>
        <v>14440.809600000002</v>
      </c>
      <c r="P10" s="56">
        <v>92</v>
      </c>
      <c r="Q10" s="61">
        <f>IFERROR(P10*$F$10*(1+$I$3),0)</f>
        <v>15816.124800000003</v>
      </c>
      <c r="R10" s="56">
        <v>84</v>
      </c>
      <c r="S10" s="61">
        <f>IFERROR(R10*$F$10*(1+$I$3),0)</f>
        <v>14440.809600000002</v>
      </c>
      <c r="T10" s="56">
        <v>88</v>
      </c>
      <c r="U10" s="61">
        <f>IFERROR(T10*$F$10*(1+$I$3),0)</f>
        <v>15128.467200000001</v>
      </c>
      <c r="V10" s="56">
        <v>88</v>
      </c>
      <c r="W10" s="61">
        <f>IFERROR(V10*$F$10*(1+$I$3),0)</f>
        <v>15128.467200000001</v>
      </c>
      <c r="X10" s="56">
        <v>80</v>
      </c>
      <c r="Y10" s="61">
        <f>IFERROR(X10*$F$10*(1+$I$3),0)</f>
        <v>13753.152000000002</v>
      </c>
      <c r="Z10" s="56">
        <v>88</v>
      </c>
      <c r="AA10" s="61">
        <f>IFERROR(Z10*$F$10*(1+$I$3),0)</f>
        <v>15128.467200000001</v>
      </c>
      <c r="AB10" s="56">
        <v>80</v>
      </c>
      <c r="AC10" s="61">
        <f>IFERROR(AB10*$F$10*(1+$I$3),0)</f>
        <v>13753.152000000002</v>
      </c>
      <c r="AD10" s="56">
        <v>68</v>
      </c>
      <c r="AE10" s="61">
        <f>IFERROR(AD10*$F$10*(1+$I$3),0)</f>
        <v>11690.1792</v>
      </c>
      <c r="AF10" s="62">
        <f t="shared" si="0"/>
        <v>1028</v>
      </c>
      <c r="AG10" s="61">
        <f t="shared" si="1"/>
        <v>176728.00320000004</v>
      </c>
    </row>
    <row r="11" spans="1:33" ht="18" customHeight="1" x14ac:dyDescent="0.35">
      <c r="A11" s="168">
        <v>1006</v>
      </c>
      <c r="B11" s="108"/>
      <c r="C11" s="43" t="s">
        <v>156</v>
      </c>
      <c r="D11" s="54"/>
      <c r="E11" s="42"/>
      <c r="F11" s="55">
        <v>155.61000000000001</v>
      </c>
      <c r="G11" s="55">
        <v>128.21</v>
      </c>
      <c r="H11" s="56">
        <v>0</v>
      </c>
      <c r="I11" s="57">
        <f>IFERROR(H11*$F$11*(1+$I$3),0)</f>
        <v>0</v>
      </c>
      <c r="J11" s="56">
        <v>0</v>
      </c>
      <c r="K11" s="57">
        <f>IFERROR(J11*$F$11*(1+$I$3),0)</f>
        <v>0</v>
      </c>
      <c r="L11" s="56">
        <v>0</v>
      </c>
      <c r="M11" s="57">
        <f>IFERROR(L11*$F$11*(1+$I$3),0)</f>
        <v>0</v>
      </c>
      <c r="N11" s="56">
        <v>0</v>
      </c>
      <c r="O11" s="57">
        <f>IFERROR(N11*$F$11*(1+$I$3),0)</f>
        <v>0</v>
      </c>
      <c r="P11" s="56">
        <v>0</v>
      </c>
      <c r="Q11" s="57">
        <f>IFERROR(P11*$F$11*(1+$I$3),0)</f>
        <v>0</v>
      </c>
      <c r="R11" s="56">
        <v>0</v>
      </c>
      <c r="S11" s="57">
        <f>IFERROR(R11*$F$11*(1+$I$3),0)</f>
        <v>0</v>
      </c>
      <c r="T11" s="56">
        <v>0</v>
      </c>
      <c r="U11" s="57">
        <f>IFERROR(T11*$F$11*(1+$I$3),0)</f>
        <v>0</v>
      </c>
      <c r="V11" s="56">
        <v>0</v>
      </c>
      <c r="W11" s="57">
        <f>IFERROR(V11*$F$11*(1+$I$3),0)</f>
        <v>0</v>
      </c>
      <c r="X11" s="56">
        <v>0</v>
      </c>
      <c r="Y11" s="57">
        <f>IFERROR(X11*$F$11*(1+$I$3),0)</f>
        <v>0</v>
      </c>
      <c r="Z11" s="56">
        <v>0</v>
      </c>
      <c r="AA11" s="57">
        <f>IFERROR(Z11*$F$11*(1+$I$3),0)</f>
        <v>0</v>
      </c>
      <c r="AB11" s="56">
        <v>0</v>
      </c>
      <c r="AC11" s="57">
        <f>IFERROR(AB11*$F$11*(1+$I$3),0)</f>
        <v>0</v>
      </c>
      <c r="AD11" s="56">
        <v>0</v>
      </c>
      <c r="AE11" s="57">
        <f>IFERROR(AD11*$F$11*(1+$I$3),0)</f>
        <v>0</v>
      </c>
      <c r="AF11" s="58">
        <f t="shared" si="0"/>
        <v>0</v>
      </c>
      <c r="AG11" s="57">
        <f t="shared" si="1"/>
        <v>0</v>
      </c>
    </row>
    <row r="12" spans="1:33" ht="18" customHeight="1" x14ac:dyDescent="0.35">
      <c r="A12" s="180">
        <v>1006</v>
      </c>
      <c r="B12" s="108"/>
      <c r="C12" s="47" t="s">
        <v>156</v>
      </c>
      <c r="D12" s="60"/>
      <c r="E12" s="46"/>
      <c r="F12" s="55">
        <v>166.81</v>
      </c>
      <c r="G12" s="55"/>
      <c r="H12" s="56">
        <v>104</v>
      </c>
      <c r="I12" s="61">
        <f>IFERROR(H12*$F$12*(1+$I$3),0)</f>
        <v>18736.099200000004</v>
      </c>
      <c r="J12" s="56">
        <v>88</v>
      </c>
      <c r="K12" s="64">
        <v>14679.9</v>
      </c>
      <c r="L12" s="56">
        <v>80</v>
      </c>
      <c r="M12" s="63">
        <v>13345.02</v>
      </c>
      <c r="N12" s="56">
        <v>88</v>
      </c>
      <c r="O12" s="64">
        <v>14679.9</v>
      </c>
      <c r="P12" s="56"/>
      <c r="Q12" s="61">
        <v>14679.9</v>
      </c>
      <c r="R12" s="56"/>
      <c r="S12" s="61">
        <v>14012.46</v>
      </c>
      <c r="T12" s="56">
        <v>0</v>
      </c>
      <c r="U12" s="61">
        <v>14012.46</v>
      </c>
      <c r="V12" s="56">
        <v>0</v>
      </c>
      <c r="W12" s="61">
        <f>IFERROR(V12*$F$12*(1+$I$3),0)</f>
        <v>0</v>
      </c>
      <c r="X12" s="56">
        <v>0</v>
      </c>
      <c r="Y12" s="61">
        <f>IFERROR(X12*$F$12*(1+$I$3),0)</f>
        <v>0</v>
      </c>
      <c r="Z12" s="56">
        <v>0</v>
      </c>
      <c r="AA12" s="61">
        <f>IFERROR(Z12*$F$12*(1+$I$3),0)</f>
        <v>0</v>
      </c>
      <c r="AB12" s="56">
        <v>0</v>
      </c>
      <c r="AC12" s="61">
        <f>IFERROR(AB12*$F$12*(1+$I$3),0)</f>
        <v>0</v>
      </c>
      <c r="AD12" s="56">
        <v>0</v>
      </c>
      <c r="AE12" s="61">
        <f>IFERROR(AD12*$F$12*(1+$I$3),0)</f>
        <v>0</v>
      </c>
      <c r="AF12" s="62">
        <f t="shared" si="0"/>
        <v>360</v>
      </c>
      <c r="AG12" s="61">
        <f t="shared" si="1"/>
        <v>104145.73920000001</v>
      </c>
    </row>
    <row r="13" spans="1:33" ht="18" customHeight="1" x14ac:dyDescent="0.35">
      <c r="A13" s="168">
        <v>1006</v>
      </c>
      <c r="B13" s="108"/>
      <c r="C13" s="43" t="s">
        <v>156</v>
      </c>
      <c r="D13" s="54"/>
      <c r="E13" s="42"/>
      <c r="F13" s="55">
        <v>89.63</v>
      </c>
      <c r="G13" s="55"/>
      <c r="H13" s="56">
        <v>104</v>
      </c>
      <c r="I13" s="57">
        <f>IFERROR(H13*$F$13*(1+$I$3),0)</f>
        <v>10067.241600000001</v>
      </c>
      <c r="J13" s="56">
        <v>88</v>
      </c>
      <c r="K13" s="63">
        <v>7887.78</v>
      </c>
      <c r="L13" s="56">
        <v>80</v>
      </c>
      <c r="M13" s="64">
        <v>7170.66</v>
      </c>
      <c r="N13" s="56">
        <v>88</v>
      </c>
      <c r="O13" s="63">
        <v>7887.78</v>
      </c>
      <c r="P13" s="56">
        <v>88</v>
      </c>
      <c r="Q13" s="64">
        <v>7887.78</v>
      </c>
      <c r="R13" s="56">
        <v>84</v>
      </c>
      <c r="S13" s="63">
        <v>7529.22</v>
      </c>
      <c r="T13" s="56">
        <v>84</v>
      </c>
      <c r="U13" s="64">
        <v>7529.22</v>
      </c>
      <c r="V13" s="56">
        <v>88</v>
      </c>
      <c r="W13" s="63">
        <v>7887.78</v>
      </c>
      <c r="X13" s="56">
        <v>76</v>
      </c>
      <c r="Y13" s="64">
        <v>6812.1</v>
      </c>
      <c r="Z13" s="56">
        <v>80</v>
      </c>
      <c r="AA13" s="63">
        <v>7170.66</v>
      </c>
      <c r="AB13" s="56">
        <v>76</v>
      </c>
      <c r="AC13" s="64">
        <v>6812.1</v>
      </c>
      <c r="AD13" s="56">
        <v>68</v>
      </c>
      <c r="AE13" s="63">
        <v>6094.98</v>
      </c>
      <c r="AF13" s="58">
        <f t="shared" si="0"/>
        <v>1004</v>
      </c>
      <c r="AG13" s="57">
        <f t="shared" si="1"/>
        <v>90737.301600000006</v>
      </c>
    </row>
    <row r="14" spans="1:33" ht="18" customHeight="1" x14ac:dyDescent="0.35">
      <c r="A14" s="180">
        <v>1006</v>
      </c>
      <c r="B14" s="108"/>
      <c r="C14" s="47" t="s">
        <v>157</v>
      </c>
      <c r="D14" s="60"/>
      <c r="E14" s="46"/>
      <c r="F14" s="55">
        <v>138.49</v>
      </c>
      <c r="G14" s="55"/>
      <c r="H14" s="56">
        <v>0</v>
      </c>
      <c r="I14" s="61">
        <f>IFERROR(H14*$F$14*(1+$I$3),0)</f>
        <v>0</v>
      </c>
      <c r="J14" s="56">
        <v>0</v>
      </c>
      <c r="K14" s="61">
        <f>IFERROR(J14*$F$14*(1+$I$3),0)</f>
        <v>0</v>
      </c>
      <c r="L14" s="56">
        <v>0</v>
      </c>
      <c r="M14" s="61">
        <f>IFERROR(L14*$F$14*(1+$I$3),0)</f>
        <v>0</v>
      </c>
      <c r="N14" s="56">
        <v>0</v>
      </c>
      <c r="O14" s="61">
        <f>IFERROR(N14*$F$14*(1+$I$3),0)</f>
        <v>0</v>
      </c>
      <c r="P14" s="56">
        <v>0</v>
      </c>
      <c r="Q14" s="61">
        <f>IFERROR(P14*$F$14*(1+$I$3),0)</f>
        <v>0</v>
      </c>
      <c r="R14" s="56">
        <v>0</v>
      </c>
      <c r="S14" s="61">
        <f>IFERROR(R14*$F$14*(1+$I$3),0)</f>
        <v>0</v>
      </c>
      <c r="T14" s="56">
        <v>0</v>
      </c>
      <c r="U14" s="61">
        <f>IFERROR(T14*$F$14*(1+$I$3),0)</f>
        <v>0</v>
      </c>
      <c r="V14" s="56">
        <v>0</v>
      </c>
      <c r="W14" s="61">
        <f>IFERROR(V14*$F$14*(1+$I$3),0)</f>
        <v>0</v>
      </c>
      <c r="X14" s="56">
        <v>0</v>
      </c>
      <c r="Y14" s="61">
        <f>IFERROR(X14*$F$14*(1+$I$3),0)</f>
        <v>0</v>
      </c>
      <c r="Z14" s="56">
        <v>0</v>
      </c>
      <c r="AA14" s="61">
        <f>IFERROR(Z14*$F$14*(1+$I$3),0)</f>
        <v>0</v>
      </c>
      <c r="AB14" s="56">
        <v>0</v>
      </c>
      <c r="AC14" s="61">
        <f>IFERROR(AB14*$F$14*(1+$I$3),0)</f>
        <v>0</v>
      </c>
      <c r="AD14" s="56">
        <v>0</v>
      </c>
      <c r="AE14" s="61">
        <f>IFERROR(AD14*$F$14*(1+$I$3),0)</f>
        <v>0</v>
      </c>
      <c r="AF14" s="62">
        <f t="shared" si="0"/>
        <v>0</v>
      </c>
      <c r="AG14" s="61">
        <f t="shared" si="1"/>
        <v>0</v>
      </c>
    </row>
    <row r="15" spans="1:33" ht="18" customHeight="1" x14ac:dyDescent="0.35">
      <c r="A15" s="168">
        <v>1006</v>
      </c>
      <c r="B15" s="108"/>
      <c r="C15" s="43" t="s">
        <v>158</v>
      </c>
      <c r="D15" s="54"/>
      <c r="E15" s="42"/>
      <c r="F15" s="55">
        <v>123.42</v>
      </c>
      <c r="G15" s="55"/>
      <c r="H15" s="56">
        <v>104</v>
      </c>
      <c r="I15" s="57">
        <f>IFERROR(H15*$F$15*(1+$I$3),0)</f>
        <v>13862.5344</v>
      </c>
      <c r="J15" s="56">
        <v>88</v>
      </c>
      <c r="K15" s="64">
        <v>10861.02</v>
      </c>
      <c r="L15" s="56">
        <v>80</v>
      </c>
      <c r="M15" s="63">
        <v>9873.36</v>
      </c>
      <c r="N15" s="56">
        <v>88</v>
      </c>
      <c r="O15" s="64">
        <v>10861.02</v>
      </c>
      <c r="P15" s="56">
        <v>88</v>
      </c>
      <c r="Q15" s="63">
        <v>10861.02</v>
      </c>
      <c r="R15" s="56">
        <v>84</v>
      </c>
      <c r="S15" s="64">
        <v>10367.459999999999</v>
      </c>
      <c r="T15" s="56">
        <v>84</v>
      </c>
      <c r="U15" s="63">
        <v>10367.459999999999</v>
      </c>
      <c r="V15" s="56">
        <v>88</v>
      </c>
      <c r="W15" s="64">
        <v>10861.02</v>
      </c>
      <c r="X15" s="56">
        <v>76</v>
      </c>
      <c r="Y15" s="63">
        <v>9379.7999999999993</v>
      </c>
      <c r="Z15" s="56">
        <v>80</v>
      </c>
      <c r="AA15" s="64">
        <v>9873.36</v>
      </c>
      <c r="AB15" s="56">
        <v>76</v>
      </c>
      <c r="AC15" s="63">
        <v>9379.7999999999993</v>
      </c>
      <c r="AD15" s="56">
        <v>68</v>
      </c>
      <c r="AE15" s="64">
        <v>8392.68</v>
      </c>
      <c r="AF15" s="58">
        <f t="shared" si="0"/>
        <v>1004</v>
      </c>
      <c r="AG15" s="57">
        <f t="shared" si="1"/>
        <v>124940.5344</v>
      </c>
    </row>
    <row r="16" spans="1:33" ht="18" customHeight="1" x14ac:dyDescent="0.35">
      <c r="A16" s="168">
        <v>1006</v>
      </c>
      <c r="B16" s="108"/>
      <c r="C16" s="43" t="s">
        <v>159</v>
      </c>
      <c r="D16" s="54"/>
      <c r="E16" s="42"/>
      <c r="F16" s="55">
        <v>190</v>
      </c>
      <c r="G16" s="55"/>
      <c r="H16" s="56"/>
      <c r="I16" s="57">
        <f>IFERROR(H16*$F$16*(1+$I$3),0)</f>
        <v>0</v>
      </c>
      <c r="J16" s="56"/>
      <c r="K16" s="57">
        <f>IFERROR(J16*$F$16*(1+$I$3),0)</f>
        <v>0</v>
      </c>
      <c r="L16" s="56">
        <v>84</v>
      </c>
      <c r="M16" s="57">
        <f>IFERROR(L16*$F$16*(1+$I$3),0)</f>
        <v>17236.800000000003</v>
      </c>
      <c r="N16" s="56">
        <v>84</v>
      </c>
      <c r="O16" s="57">
        <f>IFERROR(N16*$F$16*(1+$I$3),0)</f>
        <v>17236.800000000003</v>
      </c>
      <c r="P16" s="56">
        <v>92</v>
      </c>
      <c r="Q16" s="57">
        <f>IFERROR(P16*$F$16*(1+$I$3),0)</f>
        <v>18878.400000000001</v>
      </c>
      <c r="R16" s="56">
        <v>84</v>
      </c>
      <c r="S16" s="57">
        <f>IFERROR(R16*$F$16*(1+$I$3),0)</f>
        <v>17236.800000000003</v>
      </c>
      <c r="T16" s="56">
        <v>88</v>
      </c>
      <c r="U16" s="57">
        <f>IFERROR(T16*$F$16*(1+$I$3),0)</f>
        <v>18057.600000000002</v>
      </c>
      <c r="V16" s="56">
        <v>88</v>
      </c>
      <c r="W16" s="57">
        <f>IFERROR(V16*$F$16*(1+$I$3),0)</f>
        <v>18057.600000000002</v>
      </c>
      <c r="X16" s="56"/>
      <c r="Y16" s="57">
        <f>IFERROR(X16*$F$16*(1+$I$3),0)</f>
        <v>0</v>
      </c>
      <c r="Z16" s="56"/>
      <c r="AA16" s="57">
        <f>IFERROR(Z16*$F$16*(1+$I$3),0)</f>
        <v>0</v>
      </c>
      <c r="AB16" s="56"/>
      <c r="AC16" s="57">
        <f>IFERROR(AB16*$F$16*(1+$I$3),0)</f>
        <v>0</v>
      </c>
      <c r="AD16" s="56"/>
      <c r="AE16" s="57">
        <f>IFERROR(AD16*$F$16*(1+$I$3),0)</f>
        <v>0</v>
      </c>
      <c r="AF16" s="58"/>
      <c r="AG16" s="57">
        <f>I16+K16+M16+O16+Q16+S16+U16+W16+Y16+AA16+AC16+AE16</f>
        <v>106704.00000000003</v>
      </c>
    </row>
    <row r="17" spans="1:33" ht="21.75" customHeight="1" x14ac:dyDescent="0.35">
      <c r="A17" s="169">
        <v>1006</v>
      </c>
      <c r="B17" s="108"/>
      <c r="C17" s="48" t="s">
        <v>160</v>
      </c>
      <c r="D17" s="65"/>
      <c r="E17" s="65"/>
      <c r="F17" s="65"/>
      <c r="G17" s="65"/>
      <c r="H17" s="66">
        <f t="shared" ref="H17:AG17" si="2">SUM(H7:H16)</f>
        <v>624</v>
      </c>
      <c r="I17" s="67">
        <f t="shared" si="2"/>
        <v>91792.396800000017</v>
      </c>
      <c r="J17" s="66">
        <f t="shared" si="2"/>
        <v>616</v>
      </c>
      <c r="K17" s="67">
        <f t="shared" si="2"/>
        <v>86267.095199999996</v>
      </c>
      <c r="L17" s="66">
        <f t="shared" si="2"/>
        <v>656</v>
      </c>
      <c r="M17" s="67">
        <f t="shared" si="2"/>
        <v>97535.793600000005</v>
      </c>
      <c r="N17" s="66">
        <f t="shared" si="2"/>
        <v>688</v>
      </c>
      <c r="O17" s="67">
        <f t="shared" si="2"/>
        <v>101628.45360000001</v>
      </c>
      <c r="P17" s="66">
        <f t="shared" si="2"/>
        <v>632</v>
      </c>
      <c r="Q17" s="67">
        <f t="shared" si="2"/>
        <v>107020.9368</v>
      </c>
      <c r="R17" s="66">
        <f t="shared" si="2"/>
        <v>588</v>
      </c>
      <c r="S17" s="67">
        <f t="shared" si="2"/>
        <v>99582.393599999996</v>
      </c>
      <c r="T17" s="66">
        <f t="shared" si="2"/>
        <v>604</v>
      </c>
      <c r="U17" s="67">
        <f t="shared" si="2"/>
        <v>102278.63519999999</v>
      </c>
      <c r="V17" s="66">
        <f t="shared" si="2"/>
        <v>616</v>
      </c>
      <c r="W17" s="67">
        <f t="shared" si="2"/>
        <v>89644.795200000008</v>
      </c>
      <c r="X17" s="66">
        <f t="shared" si="2"/>
        <v>468</v>
      </c>
      <c r="Y17" s="67">
        <f t="shared" si="2"/>
        <v>63700.452000000005</v>
      </c>
      <c r="Z17" s="66">
        <f t="shared" si="2"/>
        <v>504</v>
      </c>
      <c r="AA17" s="67">
        <f t="shared" si="2"/>
        <v>68829.415200000003</v>
      </c>
      <c r="AB17" s="66">
        <f t="shared" si="2"/>
        <v>468</v>
      </c>
      <c r="AC17" s="67">
        <f t="shared" si="2"/>
        <v>63700.452000000005</v>
      </c>
      <c r="AD17" s="66">
        <f t="shared" si="2"/>
        <v>408</v>
      </c>
      <c r="AE17" s="67">
        <f t="shared" si="2"/>
        <v>55316.887200000005</v>
      </c>
      <c r="AF17" s="66">
        <f t="shared" si="2"/>
        <v>6352</v>
      </c>
      <c r="AG17" s="67">
        <f t="shared" si="2"/>
        <v>1027297.7063999999</v>
      </c>
    </row>
    <row r="19" spans="1:33" ht="21.75" customHeight="1" x14ac:dyDescent="0.35">
      <c r="A19" s="170" t="s">
        <v>161</v>
      </c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</row>
    <row r="20" spans="1:33" ht="18" customHeight="1" x14ac:dyDescent="0.35">
      <c r="A20" s="168">
        <v>1007</v>
      </c>
      <c r="B20" s="108"/>
      <c r="C20" s="43" t="s">
        <v>155</v>
      </c>
      <c r="D20" s="54"/>
      <c r="E20" s="42"/>
      <c r="F20" s="55">
        <v>146.63</v>
      </c>
      <c r="G20" s="55"/>
      <c r="H20" s="56">
        <v>104</v>
      </c>
      <c r="I20" s="57">
        <f>IFERROR(H20*$F$20*(1+$I$3),0)</f>
        <v>16469.481600000003</v>
      </c>
      <c r="J20" s="56">
        <v>88</v>
      </c>
      <c r="K20" s="57">
        <f>IFERROR(J20*$F$20*(1+$I$3),0)</f>
        <v>13935.715199999999</v>
      </c>
      <c r="L20" s="56">
        <v>84</v>
      </c>
      <c r="M20" s="57">
        <f>IFERROR(L20*$F$20*(1+$I$3),0)</f>
        <v>13302.2736</v>
      </c>
      <c r="N20" s="56">
        <v>84</v>
      </c>
      <c r="O20" s="57">
        <f>IFERROR(N20*$F$20*(1+$I$3),0)</f>
        <v>13302.2736</v>
      </c>
      <c r="P20" s="56">
        <v>92</v>
      </c>
      <c r="Q20" s="57">
        <f>IFERROR(P20*$F$20*(1+$I$3),0)</f>
        <v>14569.156800000001</v>
      </c>
      <c r="R20" s="56">
        <v>84</v>
      </c>
      <c r="S20" s="57">
        <f>IFERROR(R20*$F$20*(1+$I$3),0)</f>
        <v>13302.2736</v>
      </c>
      <c r="T20" s="56">
        <v>88</v>
      </c>
      <c r="U20" s="57">
        <f>IFERROR(T20*$F$20*(1+$I$3),0)</f>
        <v>13935.715199999999</v>
      </c>
      <c r="V20" s="56">
        <v>88</v>
      </c>
      <c r="W20" s="57">
        <f>IFERROR(V20*$F$20*(1+$I$3),0)</f>
        <v>13935.715199999999</v>
      </c>
      <c r="X20" s="56">
        <v>80</v>
      </c>
      <c r="Y20" s="57">
        <f>IFERROR(X20*$F$20*(1+$I$3),0)</f>
        <v>12668.832</v>
      </c>
      <c r="Z20" s="56">
        <v>88</v>
      </c>
      <c r="AA20" s="57">
        <f>IFERROR(Z20*$F$20*(1+$I$3),0)</f>
        <v>13935.715199999999</v>
      </c>
      <c r="AB20" s="56">
        <v>80</v>
      </c>
      <c r="AC20" s="57">
        <f>IFERROR(AB20*$F$20*(1+$I$3),0)</f>
        <v>12668.832</v>
      </c>
      <c r="AD20" s="56">
        <v>68</v>
      </c>
      <c r="AE20" s="57">
        <f>IFERROR(AD20*$F$20*(1+$I$3),0)</f>
        <v>10768.5072</v>
      </c>
      <c r="AF20" s="58">
        <f t="shared" ref="AF20:AF29" si="3">H20+J20+L20+N20+P20+R20+T20+V20+X20+Z20+AB20+AD20</f>
        <v>1028</v>
      </c>
      <c r="AG20" s="57">
        <f t="shared" ref="AG20:AG29" si="4">I20+K20+M20+O20+Q20+S20+U20+W20+Y20+AA20+AC20+AE20</f>
        <v>162794.49119999999</v>
      </c>
    </row>
    <row r="21" spans="1:33" ht="18" customHeight="1" x14ac:dyDescent="0.35">
      <c r="A21" s="180">
        <v>1007</v>
      </c>
      <c r="B21" s="108"/>
      <c r="C21" s="47" t="s">
        <v>155</v>
      </c>
      <c r="D21" s="60"/>
      <c r="E21" s="46"/>
      <c r="F21" s="55">
        <v>128.32</v>
      </c>
      <c r="G21" s="55"/>
      <c r="H21" s="56">
        <v>0</v>
      </c>
      <c r="I21" s="61">
        <f>IFERROR(H21*$F$21*(1+$I$3),0)</f>
        <v>0</v>
      </c>
      <c r="J21" s="56">
        <v>88</v>
      </c>
      <c r="K21" s="61">
        <f>IFERROR(J21*$F$21*(1+$I$3),0)</f>
        <v>12195.532800000001</v>
      </c>
      <c r="L21" s="56">
        <v>84</v>
      </c>
      <c r="M21" s="61">
        <f>IFERROR(L21*$F$21*(1+$I$3),0)</f>
        <v>11641.190399999999</v>
      </c>
      <c r="N21" s="56">
        <v>84</v>
      </c>
      <c r="O21" s="61">
        <f>IFERROR(N21*$F$21*(1+$I$3),0)</f>
        <v>11641.190399999999</v>
      </c>
      <c r="P21" s="56">
        <v>92</v>
      </c>
      <c r="Q21" s="61">
        <f>IFERROR(P21*$F$21*(1+$I$3),0)</f>
        <v>12749.875199999999</v>
      </c>
      <c r="R21" s="56">
        <v>84</v>
      </c>
      <c r="S21" s="61">
        <f>IFERROR(R21*$F$21*(1+$I$3),0)</f>
        <v>11641.190399999999</v>
      </c>
      <c r="T21" s="56">
        <v>88</v>
      </c>
      <c r="U21" s="61">
        <f>IFERROR(T21*$F$21*(1+$I$3),0)</f>
        <v>12195.532800000001</v>
      </c>
      <c r="V21" s="56">
        <v>88</v>
      </c>
      <c r="W21" s="61">
        <f>IFERROR(V21*$F$21*(1+$I$3),0)</f>
        <v>12195.532800000001</v>
      </c>
      <c r="X21" s="56">
        <v>80</v>
      </c>
      <c r="Y21" s="61">
        <f>IFERROR(X21*$F$21*(1+$I$3),0)</f>
        <v>11086.848</v>
      </c>
      <c r="Z21" s="56">
        <v>88</v>
      </c>
      <c r="AA21" s="61">
        <f>IFERROR(Z21*$F$21*(1+$I$3),0)</f>
        <v>12195.532800000001</v>
      </c>
      <c r="AB21" s="56">
        <v>80</v>
      </c>
      <c r="AC21" s="61">
        <f>IFERROR(AB21*$F$21*(1+$I$3),0)</f>
        <v>11086.848</v>
      </c>
      <c r="AD21" s="56">
        <v>68</v>
      </c>
      <c r="AE21" s="61">
        <f>IFERROR(AD21*$F$21*(1+$I$3),0)</f>
        <v>9423.8208000000013</v>
      </c>
      <c r="AF21" s="62">
        <f t="shared" si="3"/>
        <v>924</v>
      </c>
      <c r="AG21" s="61">
        <f t="shared" si="4"/>
        <v>128053.09439999999</v>
      </c>
    </row>
    <row r="22" spans="1:33" ht="18" customHeight="1" x14ac:dyDescent="0.35">
      <c r="A22" s="168">
        <v>1007</v>
      </c>
      <c r="B22" s="108"/>
      <c r="C22" s="43" t="s">
        <v>155</v>
      </c>
      <c r="D22" s="54"/>
      <c r="E22" s="42"/>
      <c r="F22" s="55">
        <v>131.57</v>
      </c>
      <c r="G22" s="55"/>
      <c r="H22" s="56">
        <v>104</v>
      </c>
      <c r="I22" s="57">
        <f>IFERROR(H22*$F$22*(1+$I$3),0)</f>
        <v>14777.9424</v>
      </c>
      <c r="J22" s="56">
        <v>88</v>
      </c>
      <c r="K22" s="63">
        <v>11578.68</v>
      </c>
      <c r="L22" s="56">
        <v>80</v>
      </c>
      <c r="M22" s="64">
        <v>10525.68</v>
      </c>
      <c r="N22" s="56">
        <v>88</v>
      </c>
      <c r="O22" s="63">
        <v>11578.68</v>
      </c>
      <c r="P22" s="56">
        <v>88</v>
      </c>
      <c r="Q22" s="64">
        <v>11578.68</v>
      </c>
      <c r="R22" s="56">
        <v>84</v>
      </c>
      <c r="S22" s="63">
        <v>11052.18</v>
      </c>
      <c r="T22" s="56">
        <v>84</v>
      </c>
      <c r="U22" s="64">
        <v>11052.18</v>
      </c>
      <c r="V22" s="56">
        <v>88</v>
      </c>
      <c r="W22" s="63">
        <v>11578.68</v>
      </c>
      <c r="X22" s="56">
        <v>76</v>
      </c>
      <c r="Y22" s="64">
        <v>9999.7199999999993</v>
      </c>
      <c r="Z22" s="56">
        <v>80</v>
      </c>
      <c r="AA22" s="63">
        <v>10525.68</v>
      </c>
      <c r="AB22" s="56">
        <v>76</v>
      </c>
      <c r="AC22" s="64">
        <v>9999.7199999999993</v>
      </c>
      <c r="AD22" s="56">
        <v>68</v>
      </c>
      <c r="AE22" s="63">
        <v>8946.7199999999993</v>
      </c>
      <c r="AF22" s="58">
        <f t="shared" si="3"/>
        <v>1004</v>
      </c>
      <c r="AG22" s="57">
        <f t="shared" si="4"/>
        <v>133194.54239999998</v>
      </c>
    </row>
    <row r="23" spans="1:33" ht="18" customHeight="1" x14ac:dyDescent="0.35">
      <c r="A23" s="180">
        <v>1007</v>
      </c>
      <c r="B23" s="108"/>
      <c r="C23" s="47" t="s">
        <v>155</v>
      </c>
      <c r="D23" s="60"/>
      <c r="E23" s="46"/>
      <c r="F23" s="55">
        <v>89.63</v>
      </c>
      <c r="G23" s="55"/>
      <c r="H23" s="56">
        <v>104</v>
      </c>
      <c r="I23" s="61">
        <f>IFERROR(H23*$F$23*(1+$I$3),0)</f>
        <v>10067.241600000001</v>
      </c>
      <c r="J23" s="56">
        <v>88</v>
      </c>
      <c r="K23" s="64">
        <v>7887.78</v>
      </c>
      <c r="L23" s="56">
        <v>80</v>
      </c>
      <c r="M23" s="63">
        <v>7170.66</v>
      </c>
      <c r="N23" s="56">
        <v>88</v>
      </c>
      <c r="O23" s="64">
        <v>7887.78</v>
      </c>
      <c r="P23" s="56">
        <v>88</v>
      </c>
      <c r="Q23" s="63">
        <v>7887.78</v>
      </c>
      <c r="R23" s="56">
        <v>84</v>
      </c>
      <c r="S23" s="64">
        <v>7529.22</v>
      </c>
      <c r="T23" s="56">
        <v>84</v>
      </c>
      <c r="U23" s="63">
        <v>7529.22</v>
      </c>
      <c r="V23" s="56">
        <v>88</v>
      </c>
      <c r="W23" s="64">
        <v>7887.78</v>
      </c>
      <c r="X23" s="56">
        <v>76</v>
      </c>
      <c r="Y23" s="63">
        <v>6812.1</v>
      </c>
      <c r="Z23" s="56">
        <v>80</v>
      </c>
      <c r="AA23" s="64">
        <v>7170.66</v>
      </c>
      <c r="AB23" s="56">
        <v>76</v>
      </c>
      <c r="AC23" s="63">
        <v>6812.1</v>
      </c>
      <c r="AD23" s="56">
        <v>68</v>
      </c>
      <c r="AE23" s="64">
        <v>6094.98</v>
      </c>
      <c r="AF23" s="62">
        <f t="shared" si="3"/>
        <v>1004</v>
      </c>
      <c r="AG23" s="61">
        <f t="shared" si="4"/>
        <v>90737.301600000006</v>
      </c>
    </row>
    <row r="24" spans="1:33" ht="18" customHeight="1" x14ac:dyDescent="0.35">
      <c r="A24" s="168">
        <v>1007</v>
      </c>
      <c r="B24" s="108"/>
      <c r="C24" s="43" t="s">
        <v>156</v>
      </c>
      <c r="D24" s="54"/>
      <c r="E24" s="42"/>
      <c r="F24" s="55">
        <v>159.18</v>
      </c>
      <c r="G24" s="55"/>
      <c r="H24" s="56">
        <v>104</v>
      </c>
      <c r="I24" s="57">
        <f>IFERROR(H24*$F$24*(1+$I$3),0)</f>
        <v>17879.097600000001</v>
      </c>
      <c r="J24" s="56">
        <v>88</v>
      </c>
      <c r="K24" s="57">
        <f>IFERROR(J24*$F$24*(1+$I$3),0)</f>
        <v>15128.467200000001</v>
      </c>
      <c r="L24" s="56">
        <v>84</v>
      </c>
      <c r="M24" s="57">
        <f>IFERROR(L24*$F$24*(1+$I$3),0)</f>
        <v>14440.809600000002</v>
      </c>
      <c r="N24" s="56">
        <v>84</v>
      </c>
      <c r="O24" s="57">
        <f>IFERROR(N24*$F$24*(1+$I$3),0)</f>
        <v>14440.809600000002</v>
      </c>
      <c r="P24" s="56">
        <v>92</v>
      </c>
      <c r="Q24" s="57">
        <f>IFERROR(P24*$F$24*(1+$I$3),0)</f>
        <v>15816.124800000003</v>
      </c>
      <c r="R24" s="56">
        <v>84</v>
      </c>
      <c r="S24" s="57">
        <f>IFERROR(R24*$F$24*(1+$I$3),0)</f>
        <v>14440.809600000002</v>
      </c>
      <c r="T24" s="56">
        <v>88</v>
      </c>
      <c r="U24" s="57">
        <f>IFERROR(T24*$F$24*(1+$I$3),0)</f>
        <v>15128.467200000001</v>
      </c>
      <c r="V24" s="56">
        <v>88</v>
      </c>
      <c r="W24" s="57">
        <f>IFERROR(V24*$F$24*(1+$I$3),0)</f>
        <v>15128.467200000001</v>
      </c>
      <c r="X24" s="56">
        <v>80</v>
      </c>
      <c r="Y24" s="57">
        <f>IFERROR(X24*$F$24*(1+$I$3),0)</f>
        <v>13753.152000000002</v>
      </c>
      <c r="Z24" s="56">
        <v>88</v>
      </c>
      <c r="AA24" s="57">
        <f>IFERROR(Z24*$F$24*(1+$I$3),0)</f>
        <v>15128.467200000001</v>
      </c>
      <c r="AB24" s="56">
        <v>80</v>
      </c>
      <c r="AC24" s="57">
        <f>IFERROR(AB24*$F$24*(1+$I$3),0)</f>
        <v>13753.152000000002</v>
      </c>
      <c r="AD24" s="56">
        <v>68</v>
      </c>
      <c r="AE24" s="57">
        <f>IFERROR(AD24*$F$24*(1+$I$3),0)</f>
        <v>11690.1792</v>
      </c>
      <c r="AF24" s="58">
        <f t="shared" si="3"/>
        <v>1028</v>
      </c>
      <c r="AG24" s="57">
        <f t="shared" si="4"/>
        <v>176728.00320000004</v>
      </c>
    </row>
    <row r="25" spans="1:33" ht="18" customHeight="1" x14ac:dyDescent="0.35">
      <c r="A25" s="180">
        <v>1007</v>
      </c>
      <c r="B25" s="108"/>
      <c r="C25" s="47" t="s">
        <v>156</v>
      </c>
      <c r="D25" s="60"/>
      <c r="E25" s="46"/>
      <c r="F25" s="55">
        <v>155.61000000000001</v>
      </c>
      <c r="G25" s="55">
        <v>128.21</v>
      </c>
      <c r="H25" s="56">
        <v>0</v>
      </c>
      <c r="I25" s="61">
        <f>IFERROR(H25*$F$25*(1+$I$3),0)</f>
        <v>0</v>
      </c>
      <c r="J25" s="56">
        <v>0</v>
      </c>
      <c r="K25" s="61">
        <f>IFERROR(J25*$F$25*(1+$I$3),0)</f>
        <v>0</v>
      </c>
      <c r="L25" s="56">
        <v>0</v>
      </c>
      <c r="M25" s="61">
        <f>IFERROR(L25*$F$25*(1+$I$3),0)</f>
        <v>0</v>
      </c>
      <c r="N25" s="56">
        <v>0</v>
      </c>
      <c r="O25" s="61">
        <f>IFERROR(N25*$F$25*(1+$I$3),0)</f>
        <v>0</v>
      </c>
      <c r="P25" s="56">
        <v>0</v>
      </c>
      <c r="Q25" s="61">
        <f>IFERROR(P25*$F$25*(1+$I$3),0)</f>
        <v>0</v>
      </c>
      <c r="R25" s="56">
        <v>0</v>
      </c>
      <c r="S25" s="61">
        <f>IFERROR(R25*$F$25*(1+$I$3),0)</f>
        <v>0</v>
      </c>
      <c r="T25" s="56">
        <v>0</v>
      </c>
      <c r="U25" s="61">
        <f>IFERROR(T25*$F$25*(1+$I$3),0)</f>
        <v>0</v>
      </c>
      <c r="V25" s="56">
        <v>0</v>
      </c>
      <c r="W25" s="61">
        <f>IFERROR(V25*$F$25*(1+$I$3),0)</f>
        <v>0</v>
      </c>
      <c r="X25" s="56">
        <v>0</v>
      </c>
      <c r="Y25" s="61">
        <f>IFERROR(X25*$F$25*(1+$I$3),0)</f>
        <v>0</v>
      </c>
      <c r="Z25" s="56">
        <v>0</v>
      </c>
      <c r="AA25" s="61">
        <f>IFERROR(Z25*$F$25*(1+$I$3),0)</f>
        <v>0</v>
      </c>
      <c r="AB25" s="56">
        <v>0</v>
      </c>
      <c r="AC25" s="61">
        <f>IFERROR(AB25*$F$25*(1+$I$3),0)</f>
        <v>0</v>
      </c>
      <c r="AD25" s="56">
        <v>0</v>
      </c>
      <c r="AE25" s="61">
        <f>IFERROR(AD25*$F$25*(1+$I$3),0)</f>
        <v>0</v>
      </c>
      <c r="AF25" s="62">
        <f t="shared" si="3"/>
        <v>0</v>
      </c>
      <c r="AG25" s="61">
        <f t="shared" si="4"/>
        <v>0</v>
      </c>
    </row>
    <row r="26" spans="1:33" ht="18" customHeight="1" x14ac:dyDescent="0.35">
      <c r="A26" s="168">
        <v>1007</v>
      </c>
      <c r="B26" s="108"/>
      <c r="C26" s="43" t="s">
        <v>156</v>
      </c>
      <c r="D26" s="54"/>
      <c r="E26" s="42"/>
      <c r="F26" s="55">
        <v>166.81</v>
      </c>
      <c r="G26" s="55"/>
      <c r="H26" s="56">
        <v>104</v>
      </c>
      <c r="I26" s="57">
        <f>IFERROR(H26*$F$26*(1+$I$3),0)</f>
        <v>18736.099200000004</v>
      </c>
      <c r="J26" s="56">
        <v>88</v>
      </c>
      <c r="K26" s="63">
        <v>14679.9</v>
      </c>
      <c r="L26" s="56">
        <v>80</v>
      </c>
      <c r="M26" s="64">
        <v>13345.02</v>
      </c>
      <c r="N26" s="56">
        <v>88</v>
      </c>
      <c r="O26" s="63">
        <v>14679.9</v>
      </c>
      <c r="P26" s="56"/>
      <c r="Q26" s="57">
        <v>14679.9</v>
      </c>
      <c r="R26" s="56"/>
      <c r="S26" s="57">
        <v>14012.46</v>
      </c>
      <c r="T26" s="56">
        <v>0</v>
      </c>
      <c r="U26" s="57">
        <v>14012.46</v>
      </c>
      <c r="V26" s="56">
        <v>0</v>
      </c>
      <c r="W26" s="57">
        <f>IFERROR(V26*$F$26*(1+$I$3),0)</f>
        <v>0</v>
      </c>
      <c r="X26" s="56">
        <v>0</v>
      </c>
      <c r="Y26" s="57">
        <f>IFERROR(X26*$F$26*(1+$I$3),0)</f>
        <v>0</v>
      </c>
      <c r="Z26" s="56">
        <v>0</v>
      </c>
      <c r="AA26" s="57">
        <f>IFERROR(Z26*$F$26*(1+$I$3),0)</f>
        <v>0</v>
      </c>
      <c r="AB26" s="56">
        <v>0</v>
      </c>
      <c r="AC26" s="57">
        <f>IFERROR(AB26*$F$26*(1+$I$3),0)</f>
        <v>0</v>
      </c>
      <c r="AD26" s="56">
        <v>0</v>
      </c>
      <c r="AE26" s="57">
        <f>IFERROR(AD26*$F$26*(1+$I$3),0)</f>
        <v>0</v>
      </c>
      <c r="AF26" s="58">
        <f t="shared" si="3"/>
        <v>360</v>
      </c>
      <c r="AG26" s="57">
        <f t="shared" si="4"/>
        <v>104145.73920000001</v>
      </c>
    </row>
    <row r="27" spans="1:33" ht="18" customHeight="1" x14ac:dyDescent="0.35">
      <c r="A27" s="180">
        <v>1007</v>
      </c>
      <c r="B27" s="108"/>
      <c r="C27" s="47" t="s">
        <v>157</v>
      </c>
      <c r="D27" s="60"/>
      <c r="E27" s="46"/>
      <c r="F27" s="55">
        <v>138.49</v>
      </c>
      <c r="G27" s="55"/>
      <c r="H27" s="56">
        <v>0</v>
      </c>
      <c r="I27" s="61">
        <f>IFERROR(H27*$F$27*(1+$I$3),0)</f>
        <v>0</v>
      </c>
      <c r="J27" s="56">
        <v>0</v>
      </c>
      <c r="K27" s="61">
        <f>IFERROR(J27*$F$27*(1+$I$3),0)</f>
        <v>0</v>
      </c>
      <c r="L27" s="56">
        <v>0</v>
      </c>
      <c r="M27" s="61">
        <f>IFERROR(L27*$F$27*(1+$I$3),0)</f>
        <v>0</v>
      </c>
      <c r="N27" s="56">
        <v>0</v>
      </c>
      <c r="O27" s="61">
        <f>IFERROR(N27*$F$27*(1+$I$3),0)</f>
        <v>0</v>
      </c>
      <c r="P27" s="56">
        <v>0</v>
      </c>
      <c r="Q27" s="61">
        <f>IFERROR(P27*$F$27*(1+$I$3),0)</f>
        <v>0</v>
      </c>
      <c r="R27" s="56">
        <v>0</v>
      </c>
      <c r="S27" s="61">
        <f>IFERROR(R27*$F$27*(1+$I$3),0)</f>
        <v>0</v>
      </c>
      <c r="T27" s="56">
        <v>0</v>
      </c>
      <c r="U27" s="61">
        <f>IFERROR(T27*$F$27*(1+$I$3),0)</f>
        <v>0</v>
      </c>
      <c r="V27" s="56">
        <v>0</v>
      </c>
      <c r="W27" s="61">
        <f>IFERROR(V27*$F$27*(1+$I$3),0)</f>
        <v>0</v>
      </c>
      <c r="X27" s="56">
        <v>0</v>
      </c>
      <c r="Y27" s="61">
        <f>IFERROR(X27*$F$27*(1+$I$3),0)</f>
        <v>0</v>
      </c>
      <c r="Z27" s="56">
        <v>0</v>
      </c>
      <c r="AA27" s="61">
        <f>IFERROR(Z27*$F$27*(1+$I$3),0)</f>
        <v>0</v>
      </c>
      <c r="AB27" s="56">
        <v>0</v>
      </c>
      <c r="AC27" s="61">
        <f>IFERROR(AB27*$F$27*(1+$I$3),0)</f>
        <v>0</v>
      </c>
      <c r="AD27" s="56">
        <v>0</v>
      </c>
      <c r="AE27" s="61">
        <f>IFERROR(AD27*$F$27*(1+$I$3),0)</f>
        <v>0</v>
      </c>
      <c r="AF27" s="62">
        <f t="shared" si="3"/>
        <v>0</v>
      </c>
      <c r="AG27" s="61">
        <f t="shared" si="4"/>
        <v>0</v>
      </c>
    </row>
    <row r="28" spans="1:33" ht="18" customHeight="1" x14ac:dyDescent="0.35">
      <c r="A28" s="168">
        <v>1007</v>
      </c>
      <c r="B28" s="108"/>
      <c r="C28" s="43" t="s">
        <v>158</v>
      </c>
      <c r="D28" s="54"/>
      <c r="E28" s="42"/>
      <c r="F28" s="55">
        <v>123.42</v>
      </c>
      <c r="G28" s="55"/>
      <c r="H28" s="56">
        <v>104</v>
      </c>
      <c r="I28" s="57">
        <f>IFERROR(H28*$F$28*(1+$I$3),0)</f>
        <v>13862.5344</v>
      </c>
      <c r="J28" s="56">
        <v>88</v>
      </c>
      <c r="K28" s="64">
        <v>10861.02</v>
      </c>
      <c r="L28" s="56">
        <v>80</v>
      </c>
      <c r="M28" s="63">
        <v>9873.36</v>
      </c>
      <c r="N28" s="56">
        <v>88</v>
      </c>
      <c r="O28" s="64">
        <v>10861.02</v>
      </c>
      <c r="P28" s="56">
        <v>88</v>
      </c>
      <c r="Q28" s="63">
        <v>10861.02</v>
      </c>
      <c r="R28" s="56">
        <v>84</v>
      </c>
      <c r="S28" s="64">
        <v>10367.459999999999</v>
      </c>
      <c r="T28" s="56">
        <v>84</v>
      </c>
      <c r="U28" s="63">
        <v>10367.459999999999</v>
      </c>
      <c r="V28" s="56">
        <v>88</v>
      </c>
      <c r="W28" s="64">
        <v>10861.02</v>
      </c>
      <c r="X28" s="56">
        <v>76</v>
      </c>
      <c r="Y28" s="63">
        <v>9379.7999999999993</v>
      </c>
      <c r="Z28" s="56">
        <v>80</v>
      </c>
      <c r="AA28" s="64">
        <v>9873.36</v>
      </c>
      <c r="AB28" s="56">
        <v>76</v>
      </c>
      <c r="AC28" s="63">
        <v>9379.7999999999993</v>
      </c>
      <c r="AD28" s="56">
        <v>68</v>
      </c>
      <c r="AE28" s="64">
        <v>8392.68</v>
      </c>
      <c r="AF28" s="58">
        <f t="shared" si="3"/>
        <v>1004</v>
      </c>
      <c r="AG28" s="57">
        <f t="shared" si="4"/>
        <v>124940.5344</v>
      </c>
    </row>
    <row r="29" spans="1:33" ht="18" customHeight="1" x14ac:dyDescent="0.35">
      <c r="A29" s="168">
        <v>1007</v>
      </c>
      <c r="B29" s="108"/>
      <c r="C29" s="43" t="s">
        <v>159</v>
      </c>
      <c r="D29" s="54"/>
      <c r="E29" s="42"/>
      <c r="F29" s="55">
        <v>190</v>
      </c>
      <c r="G29" s="55"/>
      <c r="H29" s="56"/>
      <c r="I29" s="57">
        <f>IFERROR(H29*$F$29*(1+$I$3),0)</f>
        <v>0</v>
      </c>
      <c r="J29" s="56"/>
      <c r="K29" s="57">
        <f>IFERROR(J29*$F$29*(1+$I$3),0)</f>
        <v>0</v>
      </c>
      <c r="L29" s="56">
        <v>84</v>
      </c>
      <c r="M29" s="57">
        <f>IFERROR(L29*$F$29*(1+$I$3),0)</f>
        <v>17236.800000000003</v>
      </c>
      <c r="N29" s="56">
        <v>84</v>
      </c>
      <c r="O29" s="57">
        <f>IFERROR(N29*$F$29*(1+$I$3),0)</f>
        <v>17236.800000000003</v>
      </c>
      <c r="P29" s="56">
        <v>92</v>
      </c>
      <c r="Q29" s="57">
        <f>IFERROR(P29*$F$29*(1+$I$3),0)</f>
        <v>18878.400000000001</v>
      </c>
      <c r="R29" s="56">
        <v>84</v>
      </c>
      <c r="S29" s="57">
        <f>IFERROR(R29*$F$29*(1+$I$3),0)</f>
        <v>17236.800000000003</v>
      </c>
      <c r="T29" s="56">
        <v>88</v>
      </c>
      <c r="U29" s="57">
        <f>IFERROR(T29*$F$29*(1+$I$3),0)</f>
        <v>18057.600000000002</v>
      </c>
      <c r="V29" s="56">
        <v>88</v>
      </c>
      <c r="W29" s="57">
        <f>IFERROR(V29*$F$29*(1+$I$3),0)</f>
        <v>18057.600000000002</v>
      </c>
      <c r="X29" s="56"/>
      <c r="Y29" s="57">
        <f>IFERROR(X29*$F$29*(1+$I$3),0)</f>
        <v>0</v>
      </c>
      <c r="Z29" s="56"/>
      <c r="AA29" s="57">
        <f>IFERROR(Z29*$F$29*(1+$I$3),0)</f>
        <v>0</v>
      </c>
      <c r="AB29" s="56"/>
      <c r="AC29" s="57">
        <f>IFERROR(AB29*$F$29*(1+$I$3),0)</f>
        <v>0</v>
      </c>
      <c r="AD29" s="56"/>
      <c r="AE29" s="57">
        <f>IFERROR(AD29*$F$29*(1+$I$3),0)</f>
        <v>0</v>
      </c>
      <c r="AF29" s="58">
        <f t="shared" si="3"/>
        <v>520</v>
      </c>
      <c r="AG29" s="57">
        <f t="shared" si="4"/>
        <v>106704.00000000003</v>
      </c>
    </row>
    <row r="30" spans="1:33" ht="21.75" customHeight="1" x14ac:dyDescent="0.35">
      <c r="A30" s="169">
        <v>1007</v>
      </c>
      <c r="B30" s="108"/>
      <c r="C30" s="48" t="s">
        <v>162</v>
      </c>
      <c r="D30" s="65"/>
      <c r="E30" s="65"/>
      <c r="F30" s="65"/>
      <c r="G30" s="65"/>
      <c r="H30" s="66">
        <f t="shared" ref="H30:AG30" si="5">SUM(H20:H29)</f>
        <v>624</v>
      </c>
      <c r="I30" s="67">
        <f t="shared" si="5"/>
        <v>91792.396800000017</v>
      </c>
      <c r="J30" s="66">
        <f t="shared" si="5"/>
        <v>616</v>
      </c>
      <c r="K30" s="67">
        <f t="shared" si="5"/>
        <v>86267.095199999996</v>
      </c>
      <c r="L30" s="66">
        <f t="shared" si="5"/>
        <v>656</v>
      </c>
      <c r="M30" s="67">
        <f t="shared" si="5"/>
        <v>97535.793600000005</v>
      </c>
      <c r="N30" s="66">
        <f t="shared" si="5"/>
        <v>688</v>
      </c>
      <c r="O30" s="67">
        <f t="shared" si="5"/>
        <v>101628.45360000001</v>
      </c>
      <c r="P30" s="66">
        <f t="shared" si="5"/>
        <v>632</v>
      </c>
      <c r="Q30" s="67">
        <f t="shared" si="5"/>
        <v>107020.9368</v>
      </c>
      <c r="R30" s="66">
        <f t="shared" si="5"/>
        <v>588</v>
      </c>
      <c r="S30" s="67">
        <f t="shared" si="5"/>
        <v>99582.393599999996</v>
      </c>
      <c r="T30" s="66">
        <f t="shared" si="5"/>
        <v>604</v>
      </c>
      <c r="U30" s="67">
        <f t="shared" si="5"/>
        <v>102278.63519999999</v>
      </c>
      <c r="V30" s="66">
        <f t="shared" si="5"/>
        <v>616</v>
      </c>
      <c r="W30" s="67">
        <f t="shared" si="5"/>
        <v>89644.795200000008</v>
      </c>
      <c r="X30" s="66">
        <f t="shared" si="5"/>
        <v>468</v>
      </c>
      <c r="Y30" s="67">
        <f t="shared" si="5"/>
        <v>63700.452000000005</v>
      </c>
      <c r="Z30" s="66">
        <f t="shared" si="5"/>
        <v>504</v>
      </c>
      <c r="AA30" s="67">
        <f t="shared" si="5"/>
        <v>68829.415200000003</v>
      </c>
      <c r="AB30" s="66">
        <f t="shared" si="5"/>
        <v>468</v>
      </c>
      <c r="AC30" s="67">
        <f t="shared" si="5"/>
        <v>63700.452000000005</v>
      </c>
      <c r="AD30" s="66">
        <f t="shared" si="5"/>
        <v>408</v>
      </c>
      <c r="AE30" s="67">
        <f t="shared" si="5"/>
        <v>55316.887200000005</v>
      </c>
      <c r="AF30" s="66">
        <f t="shared" si="5"/>
        <v>6872</v>
      </c>
      <c r="AG30" s="67">
        <f t="shared" si="5"/>
        <v>1027297.7064</v>
      </c>
    </row>
    <row r="32" spans="1:33" ht="21.75" customHeight="1" x14ac:dyDescent="0.35">
      <c r="A32" s="170" t="s">
        <v>163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</row>
    <row r="33" spans="1:33" ht="18" customHeight="1" x14ac:dyDescent="0.35">
      <c r="A33" s="168">
        <v>1008</v>
      </c>
      <c r="B33" s="108"/>
      <c r="C33" s="43" t="s">
        <v>164</v>
      </c>
      <c r="D33" s="54"/>
      <c r="E33" s="42"/>
      <c r="F33" s="55">
        <v>155.61000000000001</v>
      </c>
      <c r="G33" s="55">
        <v>128.21</v>
      </c>
      <c r="H33" s="56">
        <v>208</v>
      </c>
      <c r="I33" s="57">
        <f>IFERROR(H33*$F$33*(1+$I$3),0)</f>
        <v>34956.230400000008</v>
      </c>
      <c r="J33" s="56">
        <v>176</v>
      </c>
      <c r="K33" s="57">
        <f>IFERROR(J33*$F$33*(1+$I$3),0)</f>
        <v>29578.348800000003</v>
      </c>
      <c r="L33" s="56">
        <v>168</v>
      </c>
      <c r="M33" s="57">
        <f>IFERROR(L33*$G$33*(1+$I$3),0)</f>
        <v>23262.422400000003</v>
      </c>
      <c r="N33" s="56">
        <v>168</v>
      </c>
      <c r="O33" s="57">
        <f>IFERROR(N33*$G$33*(1+$I$3),0)</f>
        <v>23262.422400000003</v>
      </c>
      <c r="P33" s="56">
        <v>184</v>
      </c>
      <c r="Q33" s="57">
        <f>IFERROR(P33*$G$33*(1+$I$3),0)</f>
        <v>25477.891200000005</v>
      </c>
      <c r="R33" s="56">
        <v>168</v>
      </c>
      <c r="S33" s="57">
        <f>IFERROR(R33*$G$33*(1+$I$3),0)</f>
        <v>23262.422400000003</v>
      </c>
      <c r="T33" s="56">
        <v>176</v>
      </c>
      <c r="U33" s="57">
        <f>IFERROR(T33*$G$33*(1+$I$3),0)</f>
        <v>24370.156800000004</v>
      </c>
      <c r="V33" s="56">
        <v>176</v>
      </c>
      <c r="W33" s="57">
        <f>IFERROR(V33*$G$33*(1+$I$3),0)</f>
        <v>24370.156800000004</v>
      </c>
      <c r="X33" s="56">
        <v>160</v>
      </c>
      <c r="Y33" s="57">
        <f>IFERROR(X33*$G$33*(1+$I$3),0)</f>
        <v>22154.688000000006</v>
      </c>
      <c r="Z33" s="56">
        <v>176</v>
      </c>
      <c r="AA33" s="57">
        <f>IFERROR(Z33*$G$33*(1+$I$3),0)</f>
        <v>24370.156800000004</v>
      </c>
      <c r="AB33" s="56">
        <v>160</v>
      </c>
      <c r="AC33" s="57">
        <f>IFERROR(AB33*$G$33*(1+$I$3),0)</f>
        <v>22154.688000000006</v>
      </c>
      <c r="AD33" s="56">
        <v>136</v>
      </c>
      <c r="AE33" s="57">
        <f>IFERROR(AD33*$G$33*(1+$I$3),0)</f>
        <v>18831.484800000002</v>
      </c>
      <c r="AF33" s="58">
        <f t="shared" ref="AF33:AG36" si="6">H33+J33+L33+N33+P33+R33+T33+V33+X33+Z33+AB33+AD33</f>
        <v>2056</v>
      </c>
      <c r="AG33" s="57">
        <f t="shared" si="6"/>
        <v>296051.06880000001</v>
      </c>
    </row>
    <row r="34" spans="1:33" ht="18" customHeight="1" x14ac:dyDescent="0.35">
      <c r="A34" s="180">
        <v>1008</v>
      </c>
      <c r="B34" s="108"/>
      <c r="C34" s="47" t="s">
        <v>165</v>
      </c>
      <c r="D34" s="60"/>
      <c r="E34" s="46"/>
      <c r="F34" s="55">
        <v>152.34870000000001</v>
      </c>
      <c r="G34" s="55"/>
      <c r="H34" s="56">
        <v>0</v>
      </c>
      <c r="I34" s="61">
        <f>IFERROR(H34*$F$34*(1+$I$3),0)</f>
        <v>0</v>
      </c>
      <c r="J34" s="56">
        <v>0</v>
      </c>
      <c r="K34" s="61">
        <f>IFERROR(J34*$F$34*(1+$I$3),0)</f>
        <v>0</v>
      </c>
      <c r="L34" s="56">
        <v>0</v>
      </c>
      <c r="M34" s="61">
        <f>IFERROR(L34*$F$34*(1+$I$3),0)</f>
        <v>0</v>
      </c>
      <c r="N34" s="56">
        <v>0</v>
      </c>
      <c r="O34" s="61">
        <f>IFERROR(N34*$F$34*(1+$I$3),0)</f>
        <v>0</v>
      </c>
      <c r="P34" s="56">
        <v>0</v>
      </c>
      <c r="Q34" s="61">
        <f>IFERROR(P34*$F$34*(1+$I$3),0)</f>
        <v>0</v>
      </c>
      <c r="R34" s="56">
        <v>0</v>
      </c>
      <c r="S34" s="61">
        <f>IFERROR(R34*$F$34*(1+$I$3),0)</f>
        <v>0</v>
      </c>
      <c r="T34" s="56">
        <v>0</v>
      </c>
      <c r="U34" s="61">
        <f>IFERROR(T34*$F$34*(1+$I$3),0)</f>
        <v>0</v>
      </c>
      <c r="V34" s="56">
        <v>0</v>
      </c>
      <c r="W34" s="61">
        <f>IFERROR(V34*$F$34*(1+$I$3),0)</f>
        <v>0</v>
      </c>
      <c r="X34" s="56">
        <v>0</v>
      </c>
      <c r="Y34" s="61">
        <f>IFERROR(X34*$F$34*(1+$I$3),0)</f>
        <v>0</v>
      </c>
      <c r="Z34" s="56">
        <v>0</v>
      </c>
      <c r="AA34" s="61">
        <f>IFERROR(Z34*$F$34*(1+$I$3),0)</f>
        <v>0</v>
      </c>
      <c r="AB34" s="56">
        <v>0</v>
      </c>
      <c r="AC34" s="61">
        <f>IFERROR(AB34*$F$34*(1+$I$3),0)</f>
        <v>0</v>
      </c>
      <c r="AD34" s="56">
        <v>0</v>
      </c>
      <c r="AE34" s="61">
        <f>IFERROR(AD34*$F$34*(1+$I$3),0)</f>
        <v>0</v>
      </c>
      <c r="AF34" s="62">
        <f t="shared" si="6"/>
        <v>0</v>
      </c>
      <c r="AG34" s="61">
        <f t="shared" si="6"/>
        <v>0</v>
      </c>
    </row>
    <row r="35" spans="1:33" ht="18" customHeight="1" x14ac:dyDescent="0.35">
      <c r="A35" s="168">
        <v>1008</v>
      </c>
      <c r="B35" s="108"/>
      <c r="C35" s="43" t="s">
        <v>166</v>
      </c>
      <c r="D35" s="54"/>
      <c r="E35" s="42"/>
      <c r="F35" s="55">
        <v>138.49</v>
      </c>
      <c r="G35" s="55"/>
      <c r="H35" s="56">
        <v>104</v>
      </c>
      <c r="I35" s="57">
        <f>IFERROR(H35*$F$35*(1+$I$3),0)</f>
        <v>15555.196800000002</v>
      </c>
      <c r="J35" s="56">
        <v>176</v>
      </c>
      <c r="K35" s="57">
        <f>IFERROR(J35*$F$35*(1+$I$3),0)</f>
        <v>26324.179200000002</v>
      </c>
      <c r="L35" s="56">
        <v>84</v>
      </c>
      <c r="M35" s="57">
        <f>IFERROR(L35*$F$35*(1+$I$3),0)</f>
        <v>12563.812800000002</v>
      </c>
      <c r="N35" s="56"/>
      <c r="O35" s="57">
        <f>IFERROR(N35*$F$35*(1+$I$3),0)</f>
        <v>0</v>
      </c>
      <c r="P35" s="56"/>
      <c r="Q35" s="57"/>
      <c r="R35" s="56" t="s">
        <v>167</v>
      </c>
      <c r="S35" s="57">
        <f>IFERROR(R35*$F$35*(1+$I$3),0)</f>
        <v>0</v>
      </c>
      <c r="T35" s="56"/>
      <c r="U35" s="57">
        <f>IFERROR(T35*$F$35*(1+$I$3),0)</f>
        <v>0</v>
      </c>
      <c r="V35" s="56">
        <v>0</v>
      </c>
      <c r="W35" s="57">
        <f>IFERROR(V35*$F$35*(1+$I$3),0)</f>
        <v>0</v>
      </c>
      <c r="X35" s="56">
        <v>0</v>
      </c>
      <c r="Y35" s="57">
        <f>IFERROR(X35*$F$35*(1+$I$3),0)</f>
        <v>0</v>
      </c>
      <c r="Z35" s="56">
        <v>0</v>
      </c>
      <c r="AA35" s="57">
        <f>IFERROR(Z35*$F$35*(1+$I$3),0)</f>
        <v>0</v>
      </c>
      <c r="AB35" s="56">
        <v>0</v>
      </c>
      <c r="AC35" s="57">
        <f>IFERROR(AB35*$F$35*(1+$I$3),0)</f>
        <v>0</v>
      </c>
      <c r="AD35" s="56">
        <v>0</v>
      </c>
      <c r="AE35" s="57">
        <f>IFERROR(AD35*$F$35*(1+$I$3),0)</f>
        <v>0</v>
      </c>
      <c r="AF35" s="58" t="e">
        <f t="shared" si="6"/>
        <v>#VALUE!</v>
      </c>
      <c r="AG35" s="57">
        <f t="shared" si="6"/>
        <v>54443.188800000004</v>
      </c>
    </row>
    <row r="36" spans="1:33" ht="18" customHeight="1" x14ac:dyDescent="0.35">
      <c r="A36" s="180">
        <v>1008</v>
      </c>
      <c r="B36" s="108"/>
      <c r="C36" s="47" t="s">
        <v>158</v>
      </c>
      <c r="D36" s="60"/>
      <c r="E36" s="46"/>
      <c r="F36" s="55">
        <v>123.42</v>
      </c>
      <c r="G36" s="55"/>
      <c r="H36" s="56">
        <v>0</v>
      </c>
      <c r="I36" s="61">
        <f>IFERROR(H36*$F$36*(1+$I$3),0)</f>
        <v>0</v>
      </c>
      <c r="J36" s="56">
        <v>0</v>
      </c>
      <c r="K36" s="61">
        <f>IFERROR(J36*$F$36*(1+$I$3),0)</f>
        <v>0</v>
      </c>
      <c r="L36" s="56">
        <v>0</v>
      </c>
      <c r="M36" s="61">
        <f>IFERROR(L36*$F$36*(1+$I$3),0)</f>
        <v>0</v>
      </c>
      <c r="N36" s="56">
        <v>0</v>
      </c>
      <c r="O36" s="61">
        <f>IFERROR(N36*$F$36*(1+$I$3),0)</f>
        <v>0</v>
      </c>
      <c r="P36" s="56">
        <v>0</v>
      </c>
      <c r="Q36" s="61">
        <f>IFERROR(P36*$F$36*(1+$I$3),0)</f>
        <v>0</v>
      </c>
      <c r="R36" s="56">
        <v>0</v>
      </c>
      <c r="S36" s="61">
        <f>IFERROR(R36*$F$36*(1+$I$3),0)</f>
        <v>0</v>
      </c>
      <c r="T36" s="56">
        <v>0</v>
      </c>
      <c r="U36" s="61">
        <f>IFERROR(T36*$F$36*(1+$I$3),0)</f>
        <v>0</v>
      </c>
      <c r="V36" s="56">
        <v>0</v>
      </c>
      <c r="W36" s="61">
        <f>IFERROR(V36*$F$36*(1+$I$3),0)</f>
        <v>0</v>
      </c>
      <c r="X36" s="56">
        <v>0</v>
      </c>
      <c r="Y36" s="61">
        <f>IFERROR(X36*$F$36*(1+$I$3),0)</f>
        <v>0</v>
      </c>
      <c r="Z36" s="56">
        <v>0</v>
      </c>
      <c r="AA36" s="61">
        <f>IFERROR(Z36*$F$36*(1+$I$3),0)</f>
        <v>0</v>
      </c>
      <c r="AB36" s="56">
        <v>0</v>
      </c>
      <c r="AC36" s="61">
        <f>IFERROR(AB36*$F$36*(1+$I$3),0)</f>
        <v>0</v>
      </c>
      <c r="AD36" s="56">
        <v>0</v>
      </c>
      <c r="AE36" s="61">
        <f>IFERROR(AD36*$F$36*(1+$I$3),0)</f>
        <v>0</v>
      </c>
      <c r="AF36" s="62">
        <f t="shared" si="6"/>
        <v>0</v>
      </c>
      <c r="AG36" s="61">
        <f t="shared" si="6"/>
        <v>0</v>
      </c>
    </row>
    <row r="37" spans="1:33" ht="18" customHeight="1" x14ac:dyDescent="0.35">
      <c r="A37" s="180">
        <v>1008</v>
      </c>
      <c r="B37" s="108"/>
      <c r="C37" s="47"/>
      <c r="D37" s="60"/>
      <c r="E37" s="46"/>
      <c r="F37" s="55"/>
      <c r="G37" s="55"/>
      <c r="H37" s="56"/>
      <c r="I37" s="61"/>
      <c r="J37" s="56"/>
      <c r="K37" s="61"/>
      <c r="L37" s="56"/>
      <c r="M37" s="61"/>
      <c r="N37" s="56"/>
      <c r="O37" s="61"/>
      <c r="P37" s="56"/>
      <c r="Q37" s="61"/>
      <c r="R37" s="56"/>
      <c r="S37" s="61"/>
      <c r="T37" s="56"/>
      <c r="U37" s="61"/>
      <c r="V37" s="56"/>
      <c r="W37" s="61"/>
      <c r="X37" s="56"/>
      <c r="Y37" s="61"/>
      <c r="Z37" s="56"/>
      <c r="AA37" s="61"/>
      <c r="AB37" s="56"/>
      <c r="AC37" s="61"/>
      <c r="AD37" s="56"/>
      <c r="AE37" s="61"/>
      <c r="AF37" s="62"/>
      <c r="AG37" s="61"/>
    </row>
    <row r="38" spans="1:33" ht="21.75" customHeight="1" x14ac:dyDescent="0.35">
      <c r="A38" s="169">
        <v>1008</v>
      </c>
      <c r="B38" s="108"/>
      <c r="C38" s="48" t="s">
        <v>168</v>
      </c>
      <c r="D38" s="65"/>
      <c r="E38" s="65"/>
      <c r="F38" s="65"/>
      <c r="G38" s="65"/>
      <c r="H38" s="66"/>
      <c r="I38" s="67">
        <f t="shared" ref="I38:AG38" si="7">SUM(I33:I36)</f>
        <v>50511.427200000006</v>
      </c>
      <c r="J38" s="66">
        <f t="shared" si="7"/>
        <v>352</v>
      </c>
      <c r="K38" s="67">
        <f t="shared" si="7"/>
        <v>55902.528000000006</v>
      </c>
      <c r="L38" s="66">
        <f t="shared" si="7"/>
        <v>252</v>
      </c>
      <c r="M38" s="67">
        <f t="shared" si="7"/>
        <v>35826.235200000003</v>
      </c>
      <c r="N38" s="66">
        <f t="shared" si="7"/>
        <v>168</v>
      </c>
      <c r="O38" s="67">
        <f t="shared" si="7"/>
        <v>23262.422400000003</v>
      </c>
      <c r="P38" s="66">
        <f t="shared" si="7"/>
        <v>184</v>
      </c>
      <c r="Q38" s="67">
        <f t="shared" si="7"/>
        <v>25477.891200000005</v>
      </c>
      <c r="R38" s="66">
        <f t="shared" si="7"/>
        <v>168</v>
      </c>
      <c r="S38" s="67">
        <f t="shared" si="7"/>
        <v>23262.422400000003</v>
      </c>
      <c r="T38" s="66">
        <f t="shared" si="7"/>
        <v>176</v>
      </c>
      <c r="U38" s="67">
        <f t="shared" si="7"/>
        <v>24370.156800000004</v>
      </c>
      <c r="V38" s="66">
        <f t="shared" si="7"/>
        <v>176</v>
      </c>
      <c r="W38" s="67">
        <f t="shared" si="7"/>
        <v>24370.156800000004</v>
      </c>
      <c r="X38" s="66">
        <f t="shared" si="7"/>
        <v>160</v>
      </c>
      <c r="Y38" s="67">
        <f t="shared" si="7"/>
        <v>22154.688000000006</v>
      </c>
      <c r="Z38" s="66">
        <f t="shared" si="7"/>
        <v>176</v>
      </c>
      <c r="AA38" s="67">
        <f t="shared" si="7"/>
        <v>24370.156800000004</v>
      </c>
      <c r="AB38" s="66">
        <f t="shared" si="7"/>
        <v>160</v>
      </c>
      <c r="AC38" s="67">
        <f t="shared" si="7"/>
        <v>22154.688000000006</v>
      </c>
      <c r="AD38" s="66">
        <f t="shared" si="7"/>
        <v>136</v>
      </c>
      <c r="AE38" s="67">
        <f t="shared" si="7"/>
        <v>18831.484800000002</v>
      </c>
      <c r="AF38" s="66" t="e">
        <f t="shared" si="7"/>
        <v>#VALUE!</v>
      </c>
      <c r="AG38" s="67">
        <f t="shared" si="7"/>
        <v>350494.25760000001</v>
      </c>
    </row>
  </sheetData>
  <mergeCells count="54">
    <mergeCell ref="A38:B38"/>
    <mergeCell ref="Z4:AA4"/>
    <mergeCell ref="A29:B29"/>
    <mergeCell ref="J3:Q3"/>
    <mergeCell ref="F4:F5"/>
    <mergeCell ref="A10:B10"/>
    <mergeCell ref="A28:B28"/>
    <mergeCell ref="A13:B13"/>
    <mergeCell ref="A9:B9"/>
    <mergeCell ref="A34:B34"/>
    <mergeCell ref="A37:B37"/>
    <mergeCell ref="A27:B27"/>
    <mergeCell ref="A32:AG32"/>
    <mergeCell ref="A12:B12"/>
    <mergeCell ref="A26:B26"/>
    <mergeCell ref="A21:B21"/>
    <mergeCell ref="A35:B35"/>
    <mergeCell ref="A20:B20"/>
    <mergeCell ref="A36:B36"/>
    <mergeCell ref="H4:I4"/>
    <mergeCell ref="A3:F3"/>
    <mergeCell ref="A16:B16"/>
    <mergeCell ref="A7:B7"/>
    <mergeCell ref="A25:B25"/>
    <mergeCell ref="A8:B8"/>
    <mergeCell ref="A33:B33"/>
    <mergeCell ref="A14:B14"/>
    <mergeCell ref="A19:AG19"/>
    <mergeCell ref="A17:B17"/>
    <mergeCell ref="A23:B23"/>
    <mergeCell ref="A22:B22"/>
    <mergeCell ref="V4:W4"/>
    <mergeCell ref="D4:D5"/>
    <mergeCell ref="J4:K4"/>
    <mergeCell ref="L4:M4"/>
    <mergeCell ref="G4:G5"/>
    <mergeCell ref="T4:U4"/>
    <mergeCell ref="P4:Q4"/>
    <mergeCell ref="A1:AG1"/>
    <mergeCell ref="A24:B24"/>
    <mergeCell ref="A30:B30"/>
    <mergeCell ref="A15:B15"/>
    <mergeCell ref="A6:AG6"/>
    <mergeCell ref="C4:C5"/>
    <mergeCell ref="A11:B11"/>
    <mergeCell ref="E4:E5"/>
    <mergeCell ref="N4:O4"/>
    <mergeCell ref="AF4:AG4"/>
    <mergeCell ref="A2:AG2"/>
    <mergeCell ref="X4:Y4"/>
    <mergeCell ref="AD4:AE4"/>
    <mergeCell ref="R4:S4"/>
    <mergeCell ref="AB4:AC4"/>
    <mergeCell ref="A4:B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DC3E6"/>
  </sheetPr>
  <dimension ref="B2:R19"/>
  <sheetViews>
    <sheetView showGridLines="0" topLeftCell="A9" zoomScale="130" zoomScaleNormal="130" workbookViewId="0">
      <selection activeCell="B19" sqref="B19:R19"/>
    </sheetView>
  </sheetViews>
  <sheetFormatPr defaultColWidth="8.6328125" defaultRowHeight="14.5" x14ac:dyDescent="0.35"/>
  <cols>
    <col min="1" max="1" width="3" customWidth="1"/>
    <col min="2" max="2" width="6.81640625" customWidth="1"/>
    <col min="3" max="3" width="20.6328125" customWidth="1"/>
    <col min="4" max="4" width="12" customWidth="1"/>
    <col min="5" max="5" width="16" customWidth="1"/>
    <col min="6" max="6" width="13.81640625" hidden="1" customWidth="1"/>
    <col min="7" max="8" width="16" customWidth="1"/>
    <col min="9" max="9" width="13.81640625" customWidth="1"/>
    <col min="10" max="10" width="20" customWidth="1"/>
  </cols>
  <sheetData>
    <row r="2" spans="2:18" ht="31.5" customHeight="1" x14ac:dyDescent="0.35">
      <c r="B2" s="186" t="s">
        <v>169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</row>
    <row r="3" spans="2:18" ht="15.75" customHeight="1" x14ac:dyDescent="0.35">
      <c r="B3" s="188" t="s">
        <v>170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</row>
    <row r="4" spans="2:18" ht="15" customHeight="1" x14ac:dyDescent="0.35">
      <c r="B4" s="189" t="s">
        <v>171</v>
      </c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</row>
    <row r="5" spans="2:18" ht="21.75" customHeight="1" x14ac:dyDescent="0.35"/>
    <row r="6" spans="2:18" ht="18" customHeight="1" x14ac:dyDescent="0.35">
      <c r="B6" s="41" t="s">
        <v>38</v>
      </c>
      <c r="C6" s="41" t="s">
        <v>39</v>
      </c>
      <c r="D6" s="41" t="s">
        <v>40</v>
      </c>
      <c r="E6" s="41" t="s">
        <v>172</v>
      </c>
      <c r="F6" s="41" t="s">
        <v>173</v>
      </c>
      <c r="G6" s="41" t="s">
        <v>174</v>
      </c>
      <c r="H6" s="41" t="s">
        <v>175</v>
      </c>
      <c r="I6" s="41" t="s">
        <v>176</v>
      </c>
      <c r="J6" s="190" t="s">
        <v>44</v>
      </c>
      <c r="K6" s="123"/>
      <c r="L6" s="123"/>
      <c r="M6" s="123"/>
      <c r="N6" s="123"/>
      <c r="O6" s="123"/>
      <c r="P6" s="123"/>
      <c r="Q6" s="123"/>
      <c r="R6" s="123"/>
    </row>
    <row r="7" spans="2:18" ht="18" customHeight="1" x14ac:dyDescent="0.35">
      <c r="B7" s="53" t="str">
        <f>'⚙️ Setup'!B15</f>
        <v>1005</v>
      </c>
      <c r="C7" s="53" t="str">
        <f>'⚙️ Setup'!C15</f>
        <v>Project Management</v>
      </c>
      <c r="D7" s="53" t="str">
        <f>'⚙️ Setup'!D15</f>
        <v>FFP</v>
      </c>
      <c r="E7" s="68">
        <v>45545.440000000002</v>
      </c>
      <c r="F7" s="68">
        <v>0</v>
      </c>
      <c r="G7" s="69">
        <f t="shared" ref="G7:G15" si="0">IFERROR(E7,0)+IFERROR(F7,0)</f>
        <v>45545.440000000002</v>
      </c>
      <c r="H7" s="68">
        <v>45545.440000000002</v>
      </c>
      <c r="I7" s="69">
        <f t="shared" ref="I7:I15" si="1">G7-H7</f>
        <v>0</v>
      </c>
      <c r="J7" s="187"/>
      <c r="K7" s="110"/>
      <c r="L7" s="110"/>
      <c r="M7" s="110"/>
      <c r="N7" s="110"/>
      <c r="O7" s="110"/>
      <c r="P7" s="110"/>
      <c r="Q7" s="110"/>
      <c r="R7" s="108"/>
    </row>
    <row r="8" spans="2:18" ht="50" customHeight="1" x14ac:dyDescent="0.35">
      <c r="B8" s="59" t="str">
        <f>'⚙️ Setup'!B16</f>
        <v>1006</v>
      </c>
      <c r="C8" s="59" t="str">
        <f>'⚙️ Setup'!C16</f>
        <v>Software Maintenance</v>
      </c>
      <c r="D8" s="59" t="str">
        <f>'⚙️ Setup'!D16</f>
        <v>CPFF</v>
      </c>
      <c r="E8" s="68">
        <v>139671.71</v>
      </c>
      <c r="F8" s="68"/>
      <c r="G8" s="70">
        <f t="shared" si="0"/>
        <v>139671.71</v>
      </c>
      <c r="H8" s="71">
        <f>'💼 Labor Forecast'!I17</f>
        <v>91792.396800000017</v>
      </c>
      <c r="I8" s="70">
        <f t="shared" si="1"/>
        <v>47879.313199999975</v>
      </c>
      <c r="J8" s="187" t="s">
        <v>177</v>
      </c>
      <c r="K8" s="110"/>
      <c r="L8" s="110"/>
      <c r="M8" s="110"/>
      <c r="N8" s="110"/>
      <c r="O8" s="110"/>
      <c r="P8" s="110"/>
      <c r="Q8" s="110"/>
      <c r="R8" s="108"/>
    </row>
    <row r="9" spans="2:18" ht="14" customHeight="1" x14ac:dyDescent="0.35">
      <c r="B9" s="53" t="str">
        <f>'⚙️ Setup'!B17</f>
        <v>1007</v>
      </c>
      <c r="C9" s="53" t="str">
        <f>'⚙️ Setup'!C17</f>
        <v>Software Development</v>
      </c>
      <c r="D9" s="53" t="str">
        <f>'⚙️ Setup'!D17</f>
        <v>CPFF</v>
      </c>
      <c r="E9" s="68">
        <v>90434.31</v>
      </c>
      <c r="F9" s="68"/>
      <c r="G9" s="69">
        <f t="shared" si="0"/>
        <v>90434.31</v>
      </c>
      <c r="H9" s="71">
        <f>'💼 Labor Forecast'!I30</f>
        <v>91792.396800000017</v>
      </c>
      <c r="I9" s="69">
        <f t="shared" si="1"/>
        <v>-1358.0868000000191</v>
      </c>
      <c r="J9" s="185"/>
      <c r="K9" s="110"/>
      <c r="L9" s="110"/>
      <c r="M9" s="110"/>
      <c r="N9" s="110"/>
      <c r="O9" s="110"/>
      <c r="P9" s="110"/>
      <c r="Q9" s="110"/>
      <c r="R9" s="108"/>
    </row>
    <row r="10" spans="2:18" ht="18" customHeight="1" x14ac:dyDescent="0.35">
      <c r="B10" s="59" t="str">
        <f>'⚙️ Setup'!B18</f>
        <v>1008</v>
      </c>
      <c r="C10" s="59" t="str">
        <f>'⚙️ Setup'!C18</f>
        <v>O&amp;M</v>
      </c>
      <c r="D10" s="59" t="str">
        <f>'⚙️ Setup'!D18</f>
        <v>CPFF</v>
      </c>
      <c r="E10" s="68">
        <v>18521.330000000002</v>
      </c>
      <c r="F10" s="68">
        <v>0</v>
      </c>
      <c r="G10" s="70">
        <f t="shared" si="0"/>
        <v>18521.330000000002</v>
      </c>
      <c r="H10" s="71">
        <f>'💼 Labor Forecast'!I38</f>
        <v>50511.427200000006</v>
      </c>
      <c r="I10" s="70">
        <f t="shared" si="1"/>
        <v>-31990.097200000004</v>
      </c>
      <c r="J10" s="185"/>
      <c r="K10" s="110"/>
      <c r="L10" s="110"/>
      <c r="M10" s="110"/>
      <c r="N10" s="110"/>
      <c r="O10" s="110"/>
      <c r="P10" s="110"/>
      <c r="Q10" s="110"/>
      <c r="R10" s="108"/>
    </row>
    <row r="11" spans="2:18" ht="18" customHeight="1" x14ac:dyDescent="0.35">
      <c r="B11" s="53" t="str">
        <f>'⚙️ Setup'!B19</f>
        <v>1009</v>
      </c>
      <c r="C11" s="53" t="str">
        <f>'⚙️ Setup'!C19</f>
        <v>Tier 3 Helpdesk</v>
      </c>
      <c r="D11" s="53" t="str">
        <f>'⚙️ Setup'!D19</f>
        <v>FFP</v>
      </c>
      <c r="E11" s="68">
        <v>2590.77</v>
      </c>
      <c r="F11" s="68">
        <v>0</v>
      </c>
      <c r="G11" s="69">
        <f t="shared" si="0"/>
        <v>2590.77</v>
      </c>
      <c r="H11" s="68">
        <v>2590.77</v>
      </c>
      <c r="I11" s="69">
        <f t="shared" si="1"/>
        <v>0</v>
      </c>
      <c r="J11" s="185"/>
      <c r="K11" s="110"/>
      <c r="L11" s="110"/>
      <c r="M11" s="110"/>
      <c r="N11" s="110"/>
      <c r="O11" s="110"/>
      <c r="P11" s="110"/>
      <c r="Q11" s="110"/>
      <c r="R11" s="108"/>
    </row>
    <row r="12" spans="2:18" ht="18" customHeight="1" x14ac:dyDescent="0.35">
      <c r="B12" s="59" t="str">
        <f>'⚙️ Setup'!B20</f>
        <v>1010</v>
      </c>
      <c r="C12" s="59" t="str">
        <f>'⚙️ Setup'!C20</f>
        <v>Training</v>
      </c>
      <c r="D12" s="59" t="str">
        <f>'⚙️ Setup'!D20</f>
        <v>FFP</v>
      </c>
      <c r="E12" s="68">
        <v>15283.06</v>
      </c>
      <c r="F12" s="68">
        <v>0</v>
      </c>
      <c r="G12" s="70">
        <f t="shared" si="0"/>
        <v>15283.06</v>
      </c>
      <c r="H12" s="68">
        <v>15283.06</v>
      </c>
      <c r="I12" s="70">
        <f t="shared" si="1"/>
        <v>0</v>
      </c>
      <c r="J12" s="185"/>
      <c r="K12" s="110"/>
      <c r="L12" s="110"/>
      <c r="M12" s="110"/>
      <c r="N12" s="110"/>
      <c r="O12" s="110"/>
      <c r="P12" s="110"/>
      <c r="Q12" s="110"/>
      <c r="R12" s="108"/>
    </row>
    <row r="13" spans="2:18" ht="18" customHeight="1" x14ac:dyDescent="0.35">
      <c r="B13" s="53" t="str">
        <f>'⚙️ Setup'!B21</f>
        <v>1016</v>
      </c>
      <c r="C13" s="53" t="str">
        <f>'⚙️ Setup'!C21</f>
        <v>NTIA</v>
      </c>
      <c r="D13" s="53" t="str">
        <f>'⚙️ Setup'!D21</f>
        <v>FFP</v>
      </c>
      <c r="E13" s="68">
        <v>20596.189999999999</v>
      </c>
      <c r="F13" s="68">
        <v>0</v>
      </c>
      <c r="G13" s="69">
        <f t="shared" si="0"/>
        <v>20596.189999999999</v>
      </c>
      <c r="H13" s="68">
        <v>20596.189999999999</v>
      </c>
      <c r="I13" s="69">
        <f t="shared" si="1"/>
        <v>0</v>
      </c>
      <c r="J13" s="185"/>
      <c r="K13" s="110"/>
      <c r="L13" s="110"/>
      <c r="M13" s="110"/>
      <c r="N13" s="110"/>
      <c r="O13" s="110"/>
      <c r="P13" s="110"/>
      <c r="Q13" s="110"/>
      <c r="R13" s="108"/>
    </row>
    <row r="14" spans="2:18" ht="18" customHeight="1" x14ac:dyDescent="0.35">
      <c r="B14" s="59" t="str">
        <f>'⚙️ Setup'!B22</f>
        <v>1017</v>
      </c>
      <c r="C14" s="59" t="str">
        <f>'⚙️ Setup'!C22</f>
        <v>Other Direct Costs</v>
      </c>
      <c r="D14" s="59" t="str">
        <f>'⚙️ Setup'!D22</f>
        <v>COST</v>
      </c>
      <c r="E14" s="68">
        <v>13845.75</v>
      </c>
      <c r="F14" s="68">
        <v>0</v>
      </c>
      <c r="G14" s="70">
        <f t="shared" si="0"/>
        <v>13845.75</v>
      </c>
      <c r="H14" s="68">
        <v>7000</v>
      </c>
      <c r="I14" s="70">
        <f t="shared" si="1"/>
        <v>6845.75</v>
      </c>
      <c r="J14" s="185"/>
      <c r="K14" s="110"/>
      <c r="L14" s="110"/>
      <c r="M14" s="110"/>
      <c r="N14" s="110"/>
      <c r="O14" s="110"/>
      <c r="P14" s="110"/>
      <c r="Q14" s="110"/>
      <c r="R14" s="108"/>
    </row>
    <row r="15" spans="2:18" ht="19.5" customHeight="1" x14ac:dyDescent="0.35">
      <c r="B15" s="53" t="str">
        <f>'⚙️ Setup'!B23</f>
        <v>1018</v>
      </c>
      <c r="C15" s="53" t="str">
        <f>'⚙️ Setup'!C23</f>
        <v>Travel</v>
      </c>
      <c r="D15" s="53" t="str">
        <f>'⚙️ Setup'!D23</f>
        <v>COST</v>
      </c>
      <c r="E15" s="68"/>
      <c r="F15" s="68">
        <v>0</v>
      </c>
      <c r="G15" s="69">
        <f t="shared" si="0"/>
        <v>0</v>
      </c>
      <c r="H15" s="68">
        <v>0</v>
      </c>
      <c r="I15" s="69">
        <f t="shared" si="1"/>
        <v>0</v>
      </c>
      <c r="J15" s="185"/>
      <c r="K15" s="110"/>
      <c r="L15" s="110"/>
      <c r="M15" s="110"/>
      <c r="N15" s="110"/>
      <c r="O15" s="110"/>
      <c r="P15" s="110"/>
      <c r="Q15" s="110"/>
      <c r="R15" s="108"/>
    </row>
    <row r="16" spans="2:18" ht="15" customHeight="1" x14ac:dyDescent="0.35">
      <c r="B16" s="48" t="s">
        <v>66</v>
      </c>
      <c r="C16" s="72"/>
      <c r="D16" s="72"/>
      <c r="E16" s="73">
        <f>SUM(E7:E15)</f>
        <v>346488.56</v>
      </c>
      <c r="F16" s="73">
        <f>SUM(F7:F15)</f>
        <v>0</v>
      </c>
      <c r="G16" s="73">
        <f>SUM(G7:G15)</f>
        <v>346488.56</v>
      </c>
      <c r="H16" s="73">
        <f>SUM(H7:H15)</f>
        <v>325111.68080000009</v>
      </c>
      <c r="I16" s="73">
        <f>SUM(I7:I15)</f>
        <v>21376.879199999952</v>
      </c>
      <c r="J16" s="191"/>
      <c r="K16" s="110"/>
      <c r="L16" s="110"/>
      <c r="M16" s="110"/>
      <c r="N16" s="110"/>
      <c r="O16" s="110"/>
      <c r="P16" s="110"/>
      <c r="Q16" s="110"/>
      <c r="R16" s="108"/>
    </row>
    <row r="18" spans="2:18" ht="26" customHeight="1" x14ac:dyDescent="0.35">
      <c r="B18" s="186" t="s">
        <v>178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</row>
    <row r="19" spans="2:18" ht="62.5" customHeight="1" x14ac:dyDescent="0.35">
      <c r="B19" s="184" t="s">
        <v>257</v>
      </c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</row>
  </sheetData>
  <mergeCells count="16">
    <mergeCell ref="B19:R19"/>
    <mergeCell ref="J9:R9"/>
    <mergeCell ref="J11:R11"/>
    <mergeCell ref="B18:R18"/>
    <mergeCell ref="B2:R2"/>
    <mergeCell ref="J13:R13"/>
    <mergeCell ref="J8:R8"/>
    <mergeCell ref="B3:R3"/>
    <mergeCell ref="J12:R12"/>
    <mergeCell ref="B4:R4"/>
    <mergeCell ref="J6:R6"/>
    <mergeCell ref="J16:R16"/>
    <mergeCell ref="J14:R14"/>
    <mergeCell ref="J15:R15"/>
    <mergeCell ref="J7:R7"/>
    <mergeCell ref="J10:R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DC3E6"/>
  </sheetPr>
  <dimension ref="B2:J16"/>
  <sheetViews>
    <sheetView showGridLines="0" topLeftCell="A3" zoomScale="182" zoomScaleNormal="100" workbookViewId="0">
      <selection activeCell="C22" sqref="C22"/>
    </sheetView>
  </sheetViews>
  <sheetFormatPr defaultColWidth="8.6328125" defaultRowHeight="14.5" x14ac:dyDescent="0.35"/>
  <cols>
    <col min="1" max="1" width="3" customWidth="1"/>
    <col min="2" max="2" width="10" customWidth="1"/>
    <col min="3" max="3" width="32" customWidth="1"/>
    <col min="4" max="4" width="12" customWidth="1"/>
    <col min="5" max="9" width="16" customWidth="1"/>
    <col min="10" max="10" width="20" customWidth="1"/>
  </cols>
  <sheetData>
    <row r="2" spans="2:10" ht="31.5" customHeight="1" x14ac:dyDescent="0.35">
      <c r="B2" s="186" t="s">
        <v>179</v>
      </c>
      <c r="C2" s="123"/>
      <c r="D2" s="123"/>
      <c r="E2" s="123"/>
      <c r="F2" s="123"/>
      <c r="G2" s="123"/>
      <c r="H2" s="123"/>
      <c r="I2" s="123"/>
      <c r="J2" s="123"/>
    </row>
    <row r="3" spans="2:10" ht="15.75" customHeight="1" x14ac:dyDescent="0.35">
      <c r="B3" s="188" t="s">
        <v>170</v>
      </c>
      <c r="C3" s="123"/>
      <c r="D3" s="123"/>
      <c r="E3" s="123"/>
      <c r="F3" s="123"/>
      <c r="G3" s="123"/>
      <c r="H3" s="123"/>
      <c r="I3" s="123"/>
      <c r="J3" s="123"/>
    </row>
    <row r="4" spans="2:10" ht="19.5" customHeight="1" x14ac:dyDescent="0.35">
      <c r="B4" s="192" t="s">
        <v>171</v>
      </c>
      <c r="C4" s="123"/>
      <c r="D4" s="123"/>
      <c r="E4" s="123"/>
      <c r="F4" s="123"/>
      <c r="G4" s="123"/>
      <c r="H4" s="123"/>
      <c r="I4" s="123"/>
      <c r="J4" s="123"/>
    </row>
    <row r="5" spans="2:10" ht="21.75" customHeight="1" x14ac:dyDescent="0.35"/>
    <row r="6" spans="2:10" ht="18" customHeight="1" x14ac:dyDescent="0.35">
      <c r="B6" s="41" t="s">
        <v>38</v>
      </c>
      <c r="C6" s="41" t="s">
        <v>39</v>
      </c>
      <c r="D6" s="41" t="s">
        <v>40</v>
      </c>
      <c r="E6" s="41" t="s">
        <v>172</v>
      </c>
      <c r="F6" s="41" t="s">
        <v>173</v>
      </c>
      <c r="G6" s="41" t="s">
        <v>174</v>
      </c>
      <c r="H6" s="41" t="s">
        <v>175</v>
      </c>
      <c r="I6" s="41" t="s">
        <v>176</v>
      </c>
      <c r="J6" s="41" t="s">
        <v>44</v>
      </c>
    </row>
    <row r="7" spans="2:10" ht="18" customHeight="1" x14ac:dyDescent="0.35">
      <c r="B7" s="53" t="str">
        <f>'⚙️ Setup'!B15</f>
        <v>1005</v>
      </c>
      <c r="C7" s="53" t="str">
        <f>'⚙️ Setup'!C15</f>
        <v>Project Management</v>
      </c>
      <c r="D7" s="53" t="str">
        <f>'⚙️ Setup'!D15</f>
        <v>FFP</v>
      </c>
      <c r="E7" s="68"/>
      <c r="F7" s="68">
        <v>0</v>
      </c>
      <c r="G7" s="69">
        <f t="shared" ref="G7:G15" si="0">IFERROR(E7,0)+IFERROR(F7,0)</f>
        <v>0</v>
      </c>
      <c r="H7" s="68">
        <v>50425.31</v>
      </c>
      <c r="I7" s="69">
        <f t="shared" ref="I7:I15" si="1">G7-H7</f>
        <v>-50425.31</v>
      </c>
      <c r="J7" s="45"/>
    </row>
    <row r="8" spans="2:10" ht="18" customHeight="1" x14ac:dyDescent="0.35">
      <c r="B8" s="59" t="str">
        <f>'⚙️ Setup'!B16</f>
        <v>1006</v>
      </c>
      <c r="C8" s="59" t="str">
        <f>'⚙️ Setup'!C16</f>
        <v>Software Maintenance</v>
      </c>
      <c r="D8" s="59" t="str">
        <f>'⚙️ Setup'!D16</f>
        <v>CPFF</v>
      </c>
      <c r="E8" s="68"/>
      <c r="F8" s="68">
        <v>0</v>
      </c>
      <c r="G8" s="70">
        <f t="shared" si="0"/>
        <v>0</v>
      </c>
      <c r="H8" s="71">
        <f>'💼 Labor Forecast'!K17</f>
        <v>86267.095199999996</v>
      </c>
      <c r="I8" s="70">
        <f t="shared" si="1"/>
        <v>-86267.095199999996</v>
      </c>
      <c r="J8" s="45"/>
    </row>
    <row r="9" spans="2:10" ht="18" customHeight="1" x14ac:dyDescent="0.35">
      <c r="B9" s="53" t="str">
        <f>'⚙️ Setup'!B17</f>
        <v>1007</v>
      </c>
      <c r="C9" s="53" t="str">
        <f>'⚙️ Setup'!C17</f>
        <v>Software Development</v>
      </c>
      <c r="D9" s="53" t="str">
        <f>'⚙️ Setup'!D17</f>
        <v>CPFF</v>
      </c>
      <c r="E9" s="68"/>
      <c r="F9" s="68">
        <v>0</v>
      </c>
      <c r="G9" s="69">
        <f t="shared" si="0"/>
        <v>0</v>
      </c>
      <c r="H9" s="71">
        <f>'💼 Labor Forecast'!K30</f>
        <v>86267.095199999996</v>
      </c>
      <c r="I9" s="69">
        <f t="shared" si="1"/>
        <v>-86267.095199999996</v>
      </c>
      <c r="J9" s="45"/>
    </row>
    <row r="10" spans="2:10" ht="18" customHeight="1" x14ac:dyDescent="0.35">
      <c r="B10" s="59" t="str">
        <f>'⚙️ Setup'!B18</f>
        <v>1008</v>
      </c>
      <c r="C10" s="59" t="str">
        <f>'⚙️ Setup'!C18</f>
        <v>O&amp;M</v>
      </c>
      <c r="D10" s="59" t="str">
        <f>'⚙️ Setup'!D18</f>
        <v>CPFF</v>
      </c>
      <c r="E10" s="68"/>
      <c r="F10" s="68">
        <v>0</v>
      </c>
      <c r="G10" s="70">
        <f t="shared" si="0"/>
        <v>0</v>
      </c>
      <c r="H10" s="71">
        <f>'💼 Labor Forecast'!K38</f>
        <v>55902.528000000006</v>
      </c>
      <c r="I10" s="70">
        <f t="shared" si="1"/>
        <v>-55902.528000000006</v>
      </c>
      <c r="J10" s="45"/>
    </row>
    <row r="11" spans="2:10" ht="18" customHeight="1" x14ac:dyDescent="0.35">
      <c r="B11" s="53" t="str">
        <f>'⚙️ Setup'!B19</f>
        <v>1009</v>
      </c>
      <c r="C11" s="53" t="str">
        <f>'⚙️ Setup'!C19</f>
        <v>Tier 3 Helpdesk</v>
      </c>
      <c r="D11" s="53" t="str">
        <f>'⚙️ Setup'!D19</f>
        <v>FFP</v>
      </c>
      <c r="E11" s="68"/>
      <c r="F11" s="68">
        <v>0</v>
      </c>
      <c r="G11" s="69">
        <f t="shared" si="0"/>
        <v>0</v>
      </c>
      <c r="H11" s="68">
        <v>2868.35</v>
      </c>
      <c r="I11" s="69">
        <f t="shared" si="1"/>
        <v>-2868.35</v>
      </c>
      <c r="J11" s="45"/>
    </row>
    <row r="12" spans="2:10" ht="18" customHeight="1" x14ac:dyDescent="0.35">
      <c r="B12" s="59" t="str">
        <f>'⚙️ Setup'!B20</f>
        <v>1010</v>
      </c>
      <c r="C12" s="59" t="str">
        <f>'⚙️ Setup'!C20</f>
        <v>Training</v>
      </c>
      <c r="D12" s="59" t="str">
        <f>'⚙️ Setup'!D20</f>
        <v>FFP</v>
      </c>
      <c r="E12" s="68"/>
      <c r="F12" s="68">
        <v>0</v>
      </c>
      <c r="G12" s="70">
        <f t="shared" si="0"/>
        <v>0</v>
      </c>
      <c r="H12" s="68">
        <v>16920.53</v>
      </c>
      <c r="I12" s="70">
        <f t="shared" si="1"/>
        <v>-16920.53</v>
      </c>
      <c r="J12" s="45"/>
    </row>
    <row r="13" spans="2:10" ht="18" customHeight="1" x14ac:dyDescent="0.35">
      <c r="B13" s="53" t="str">
        <f>'⚙️ Setup'!B21</f>
        <v>1016</v>
      </c>
      <c r="C13" s="53" t="str">
        <f>'⚙️ Setup'!C21</f>
        <v>NTIA</v>
      </c>
      <c r="D13" s="53" t="str">
        <f>'⚙️ Setup'!D21</f>
        <v>FFP</v>
      </c>
      <c r="E13" s="68"/>
      <c r="F13" s="68">
        <v>0</v>
      </c>
      <c r="G13" s="69">
        <f t="shared" si="0"/>
        <v>0</v>
      </c>
      <c r="H13" s="68">
        <v>22802.92</v>
      </c>
      <c r="I13" s="69">
        <f t="shared" si="1"/>
        <v>-22802.92</v>
      </c>
      <c r="J13" s="45"/>
    </row>
    <row r="14" spans="2:10" ht="18" customHeight="1" x14ac:dyDescent="0.35">
      <c r="B14" s="59" t="str">
        <f>'⚙️ Setup'!B22</f>
        <v>1017</v>
      </c>
      <c r="C14" s="59" t="str">
        <f>'⚙️ Setup'!C22</f>
        <v>Other Direct Costs</v>
      </c>
      <c r="D14" s="59" t="str">
        <f>'⚙️ Setup'!D22</f>
        <v>COST</v>
      </c>
      <c r="E14" s="68"/>
      <c r="F14" s="68">
        <v>0</v>
      </c>
      <c r="G14" s="70">
        <f t="shared" si="0"/>
        <v>0</v>
      </c>
      <c r="H14" s="68">
        <v>97000</v>
      </c>
      <c r="I14" s="70">
        <f t="shared" si="1"/>
        <v>-97000</v>
      </c>
      <c r="J14" s="45" t="s">
        <v>180</v>
      </c>
    </row>
    <row r="15" spans="2:10" ht="19.5" customHeight="1" x14ac:dyDescent="0.35">
      <c r="B15" s="53" t="str">
        <f>'⚙️ Setup'!B23</f>
        <v>1018</v>
      </c>
      <c r="C15" s="53" t="str">
        <f>'⚙️ Setup'!C23</f>
        <v>Travel</v>
      </c>
      <c r="D15" s="53" t="str">
        <f>'⚙️ Setup'!D23</f>
        <v>COST</v>
      </c>
      <c r="E15" s="68"/>
      <c r="F15" s="68">
        <v>0</v>
      </c>
      <c r="G15" s="69">
        <f t="shared" si="0"/>
        <v>0</v>
      </c>
      <c r="H15" s="68">
        <v>0</v>
      </c>
      <c r="I15" s="69">
        <f t="shared" si="1"/>
        <v>0</v>
      </c>
      <c r="J15" s="45"/>
    </row>
    <row r="16" spans="2:10" ht="15" customHeight="1" x14ac:dyDescent="0.35">
      <c r="B16" s="48" t="s">
        <v>66</v>
      </c>
      <c r="C16" s="72"/>
      <c r="D16" s="72"/>
      <c r="E16" s="73">
        <f>SUM(E7:E15)</f>
        <v>0</v>
      </c>
      <c r="F16" s="73">
        <f>SUM(F7:F15)</f>
        <v>0</v>
      </c>
      <c r="G16" s="73">
        <f>SUM(G7:G15)</f>
        <v>0</v>
      </c>
      <c r="H16" s="73">
        <f>SUM(H7:H15)</f>
        <v>418453.82839999994</v>
      </c>
      <c r="I16" s="73">
        <f>SUM(I7:I15)</f>
        <v>-418453.82839999994</v>
      </c>
      <c r="J16" s="72"/>
    </row>
  </sheetData>
  <mergeCells count="3">
    <mergeCell ref="B2:J2"/>
    <mergeCell ref="B3:J3"/>
    <mergeCell ref="B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DC3E6"/>
  </sheetPr>
  <dimension ref="B2:J16"/>
  <sheetViews>
    <sheetView showGridLines="0" zoomScaleNormal="100" workbookViewId="0">
      <selection activeCell="C38" sqref="C38"/>
    </sheetView>
  </sheetViews>
  <sheetFormatPr defaultColWidth="8.6328125" defaultRowHeight="14.5" x14ac:dyDescent="0.35"/>
  <cols>
    <col min="1" max="1" width="3" customWidth="1"/>
    <col min="2" max="2" width="10" customWidth="1"/>
    <col min="3" max="3" width="32" customWidth="1"/>
    <col min="4" max="4" width="12" customWidth="1"/>
    <col min="5" max="9" width="16" customWidth="1"/>
    <col min="10" max="10" width="20" customWidth="1"/>
  </cols>
  <sheetData>
    <row r="2" spans="2:10" ht="31.5" customHeight="1" x14ac:dyDescent="0.35">
      <c r="B2" s="186" t="s">
        <v>181</v>
      </c>
      <c r="C2" s="123"/>
      <c r="D2" s="123"/>
      <c r="E2" s="123"/>
      <c r="F2" s="123"/>
      <c r="G2" s="123"/>
      <c r="H2" s="123"/>
      <c r="I2" s="123"/>
      <c r="J2" s="123"/>
    </row>
    <row r="3" spans="2:10" ht="15.75" customHeight="1" x14ac:dyDescent="0.35">
      <c r="B3" s="188" t="s">
        <v>170</v>
      </c>
      <c r="C3" s="123"/>
      <c r="D3" s="123"/>
      <c r="E3" s="123"/>
      <c r="F3" s="123"/>
      <c r="G3" s="123"/>
      <c r="H3" s="123"/>
      <c r="I3" s="123"/>
      <c r="J3" s="123"/>
    </row>
    <row r="4" spans="2:10" ht="19.5" customHeight="1" x14ac:dyDescent="0.35">
      <c r="B4" s="192" t="s">
        <v>171</v>
      </c>
      <c r="C4" s="123"/>
      <c r="D4" s="123"/>
      <c r="E4" s="123"/>
      <c r="F4" s="123"/>
      <c r="G4" s="123"/>
      <c r="H4" s="123"/>
      <c r="I4" s="123"/>
      <c r="J4" s="123"/>
    </row>
    <row r="5" spans="2:10" ht="21.75" customHeight="1" x14ac:dyDescent="0.35"/>
    <row r="6" spans="2:10" ht="18" customHeight="1" x14ac:dyDescent="0.35">
      <c r="B6" s="41" t="s">
        <v>38</v>
      </c>
      <c r="C6" s="41" t="s">
        <v>39</v>
      </c>
      <c r="D6" s="41" t="s">
        <v>40</v>
      </c>
      <c r="E6" s="41" t="s">
        <v>172</v>
      </c>
      <c r="F6" s="41" t="s">
        <v>173</v>
      </c>
      <c r="G6" s="41" t="s">
        <v>174</v>
      </c>
      <c r="H6" s="41" t="s">
        <v>175</v>
      </c>
      <c r="I6" s="41" t="s">
        <v>176</v>
      </c>
      <c r="J6" s="41" t="s">
        <v>44</v>
      </c>
    </row>
    <row r="7" spans="2:10" ht="18" customHeight="1" x14ac:dyDescent="0.35">
      <c r="B7" s="53" t="str">
        <f>'⚙️ Setup'!B15</f>
        <v>1005</v>
      </c>
      <c r="C7" s="53" t="str">
        <f>'⚙️ Setup'!C15</f>
        <v>Project Management</v>
      </c>
      <c r="D7" s="53" t="str">
        <f>'⚙️ Setup'!D15</f>
        <v>FFP</v>
      </c>
      <c r="E7" s="68"/>
      <c r="F7" s="68">
        <v>0</v>
      </c>
      <c r="G7" s="69">
        <f t="shared" ref="G7:G15" si="0">IFERROR(E7,0)+IFERROR(F7,0)</f>
        <v>0</v>
      </c>
      <c r="H7" s="68">
        <v>48798.69</v>
      </c>
      <c r="I7" s="69">
        <f t="shared" ref="I7:I15" si="1">G7-H7</f>
        <v>-48798.69</v>
      </c>
      <c r="J7" s="45"/>
    </row>
    <row r="8" spans="2:10" ht="18" customHeight="1" x14ac:dyDescent="0.35">
      <c r="B8" s="59" t="str">
        <f>'⚙️ Setup'!B16</f>
        <v>1006</v>
      </c>
      <c r="C8" s="59" t="str">
        <f>'⚙️ Setup'!C16</f>
        <v>Software Maintenance</v>
      </c>
      <c r="D8" s="59" t="str">
        <f>'⚙️ Setup'!D16</f>
        <v>CPFF</v>
      </c>
      <c r="E8" s="68"/>
      <c r="F8" s="68">
        <v>0</v>
      </c>
      <c r="G8" s="70">
        <f t="shared" si="0"/>
        <v>0</v>
      </c>
      <c r="H8" s="71">
        <f>'💼 Labor Forecast'!M17</f>
        <v>97535.793600000005</v>
      </c>
      <c r="I8" s="70">
        <f t="shared" si="1"/>
        <v>-97535.793600000005</v>
      </c>
      <c r="J8" s="45"/>
    </row>
    <row r="9" spans="2:10" ht="18" customHeight="1" x14ac:dyDescent="0.35">
      <c r="B9" s="53" t="str">
        <f>'⚙️ Setup'!B17</f>
        <v>1007</v>
      </c>
      <c r="C9" s="53" t="str">
        <f>'⚙️ Setup'!C17</f>
        <v>Software Development</v>
      </c>
      <c r="D9" s="53" t="str">
        <f>'⚙️ Setup'!D17</f>
        <v>CPFF</v>
      </c>
      <c r="E9" s="68"/>
      <c r="F9" s="68">
        <v>0</v>
      </c>
      <c r="G9" s="69">
        <f t="shared" si="0"/>
        <v>0</v>
      </c>
      <c r="H9" s="71">
        <f>'💼 Labor Forecast'!M30</f>
        <v>97535.793600000005</v>
      </c>
      <c r="I9" s="69">
        <f t="shared" si="1"/>
        <v>-97535.793600000005</v>
      </c>
      <c r="J9" s="45"/>
    </row>
    <row r="10" spans="2:10" ht="18" customHeight="1" x14ac:dyDescent="0.35">
      <c r="B10" s="59" t="str">
        <f>'⚙️ Setup'!B18</f>
        <v>1008</v>
      </c>
      <c r="C10" s="59" t="str">
        <f>'⚙️ Setup'!C18</f>
        <v>O&amp;M</v>
      </c>
      <c r="D10" s="59" t="str">
        <f>'⚙️ Setup'!D18</f>
        <v>CPFF</v>
      </c>
      <c r="E10" s="68"/>
      <c r="F10" s="68">
        <v>0</v>
      </c>
      <c r="G10" s="70">
        <f t="shared" si="0"/>
        <v>0</v>
      </c>
      <c r="H10" s="71">
        <f>'💼 Labor Forecast'!M38</f>
        <v>35826.235200000003</v>
      </c>
      <c r="I10" s="70">
        <f t="shared" si="1"/>
        <v>-35826.235200000003</v>
      </c>
      <c r="J10" s="45"/>
    </row>
    <row r="11" spans="2:10" ht="18" customHeight="1" x14ac:dyDescent="0.35">
      <c r="B11" s="53" t="str">
        <f>'⚙️ Setup'!B19</f>
        <v>1009</v>
      </c>
      <c r="C11" s="53" t="str">
        <f>'⚙️ Setup'!C19</f>
        <v>Tier 3 Helpdesk</v>
      </c>
      <c r="D11" s="53" t="str">
        <f>'⚙️ Setup'!D19</f>
        <v>FFP</v>
      </c>
      <c r="E11" s="68"/>
      <c r="F11" s="68">
        <v>0</v>
      </c>
      <c r="G11" s="69">
        <f t="shared" si="0"/>
        <v>0</v>
      </c>
      <c r="H11" s="68">
        <v>2775.82</v>
      </c>
      <c r="I11" s="69">
        <f t="shared" si="1"/>
        <v>-2775.82</v>
      </c>
      <c r="J11" s="45"/>
    </row>
    <row r="12" spans="2:10" ht="18" customHeight="1" x14ac:dyDescent="0.35">
      <c r="B12" s="59" t="str">
        <f>'⚙️ Setup'!B20</f>
        <v>1010</v>
      </c>
      <c r="C12" s="59" t="str">
        <f>'⚙️ Setup'!C20</f>
        <v>Training</v>
      </c>
      <c r="D12" s="59" t="str">
        <f>'⚙️ Setup'!D20</f>
        <v>FFP</v>
      </c>
      <c r="E12" s="68"/>
      <c r="F12" s="68">
        <v>0</v>
      </c>
      <c r="G12" s="70">
        <f t="shared" si="0"/>
        <v>0</v>
      </c>
      <c r="H12" s="68">
        <v>16374.71</v>
      </c>
      <c r="I12" s="70">
        <f t="shared" si="1"/>
        <v>-16374.71</v>
      </c>
      <c r="J12" s="45"/>
    </row>
    <row r="13" spans="2:10" ht="18" customHeight="1" x14ac:dyDescent="0.35">
      <c r="B13" s="53" t="str">
        <f>'⚙️ Setup'!B21</f>
        <v>1016</v>
      </c>
      <c r="C13" s="53" t="str">
        <f>'⚙️ Setup'!C21</f>
        <v>NTIA</v>
      </c>
      <c r="D13" s="53" t="str">
        <f>'⚙️ Setup'!D21</f>
        <v>FFP</v>
      </c>
      <c r="E13" s="68"/>
      <c r="F13" s="68">
        <v>0</v>
      </c>
      <c r="G13" s="69">
        <f t="shared" si="0"/>
        <v>0</v>
      </c>
      <c r="H13" s="68">
        <v>22067.34</v>
      </c>
      <c r="I13" s="69">
        <f t="shared" si="1"/>
        <v>-22067.34</v>
      </c>
      <c r="J13" s="45"/>
    </row>
    <row r="14" spans="2:10" ht="18" customHeight="1" x14ac:dyDescent="0.35">
      <c r="B14" s="59" t="str">
        <f>'⚙️ Setup'!B22</f>
        <v>1017</v>
      </c>
      <c r="C14" s="59" t="str">
        <f>'⚙️ Setup'!C22</f>
        <v>Other Direct Costs</v>
      </c>
      <c r="D14" s="59" t="str">
        <f>'⚙️ Setup'!D22</f>
        <v>COST</v>
      </c>
      <c r="E14" s="68"/>
      <c r="F14" s="68">
        <v>0</v>
      </c>
      <c r="G14" s="70">
        <f t="shared" si="0"/>
        <v>0</v>
      </c>
      <c r="H14" s="68">
        <v>7000</v>
      </c>
      <c r="I14" s="70">
        <f t="shared" si="1"/>
        <v>-7000</v>
      </c>
      <c r="J14" s="45"/>
    </row>
    <row r="15" spans="2:10" ht="19.5" customHeight="1" x14ac:dyDescent="0.35">
      <c r="B15" s="53" t="str">
        <f>'⚙️ Setup'!B23</f>
        <v>1018</v>
      </c>
      <c r="C15" s="53" t="str">
        <f>'⚙️ Setup'!C23</f>
        <v>Travel</v>
      </c>
      <c r="D15" s="53" t="str">
        <f>'⚙️ Setup'!D23</f>
        <v>COST</v>
      </c>
      <c r="E15" s="68"/>
      <c r="F15" s="68">
        <v>0</v>
      </c>
      <c r="G15" s="69">
        <f t="shared" si="0"/>
        <v>0</v>
      </c>
      <c r="H15" s="68">
        <v>0</v>
      </c>
      <c r="I15" s="69">
        <f t="shared" si="1"/>
        <v>0</v>
      </c>
      <c r="J15" s="45"/>
    </row>
    <row r="16" spans="2:10" ht="15" customHeight="1" x14ac:dyDescent="0.35">
      <c r="B16" s="48" t="s">
        <v>66</v>
      </c>
      <c r="C16" s="72"/>
      <c r="D16" s="72"/>
      <c r="E16" s="73">
        <f>SUM(E7:E15)</f>
        <v>0</v>
      </c>
      <c r="F16" s="73">
        <f>SUM(F7:F15)</f>
        <v>0</v>
      </c>
      <c r="G16" s="73">
        <f>SUM(G7:G15)</f>
        <v>0</v>
      </c>
      <c r="H16" s="73">
        <f>SUM(H7:H15)</f>
        <v>327914.38240000006</v>
      </c>
      <c r="I16" s="73">
        <f>SUM(I7:I15)</f>
        <v>-327914.38240000006</v>
      </c>
      <c r="J16" s="72"/>
    </row>
  </sheetData>
  <mergeCells count="3">
    <mergeCell ref="B2:J2"/>
    <mergeCell ref="B3:J3"/>
    <mergeCell ref="B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DC3E6"/>
  </sheetPr>
  <dimension ref="B2:J16"/>
  <sheetViews>
    <sheetView showGridLines="0" zoomScaleNormal="100" workbookViewId="0">
      <selection activeCell="C38" sqref="C38"/>
    </sheetView>
  </sheetViews>
  <sheetFormatPr defaultColWidth="8.6328125" defaultRowHeight="14.5" x14ac:dyDescent="0.35"/>
  <cols>
    <col min="1" max="1" width="3" customWidth="1"/>
    <col min="2" max="2" width="10" customWidth="1"/>
    <col min="3" max="3" width="32" customWidth="1"/>
    <col min="4" max="4" width="12" customWidth="1"/>
    <col min="5" max="9" width="16" customWidth="1"/>
    <col min="10" max="10" width="20" customWidth="1"/>
  </cols>
  <sheetData>
    <row r="2" spans="2:10" ht="31.5" customHeight="1" x14ac:dyDescent="0.35">
      <c r="B2" s="186" t="s">
        <v>182</v>
      </c>
      <c r="C2" s="123"/>
      <c r="D2" s="123"/>
      <c r="E2" s="123"/>
      <c r="F2" s="123"/>
      <c r="G2" s="123"/>
      <c r="H2" s="123"/>
      <c r="I2" s="123"/>
      <c r="J2" s="123"/>
    </row>
    <row r="3" spans="2:10" ht="15.75" customHeight="1" x14ac:dyDescent="0.35">
      <c r="B3" s="188" t="s">
        <v>170</v>
      </c>
      <c r="C3" s="123"/>
      <c r="D3" s="123"/>
      <c r="E3" s="123"/>
      <c r="F3" s="123"/>
      <c r="G3" s="123"/>
      <c r="H3" s="123"/>
      <c r="I3" s="123"/>
      <c r="J3" s="123"/>
    </row>
    <row r="4" spans="2:10" ht="19.5" customHeight="1" x14ac:dyDescent="0.35">
      <c r="B4" s="192" t="s">
        <v>171</v>
      </c>
      <c r="C4" s="123"/>
      <c r="D4" s="123"/>
      <c r="E4" s="123"/>
      <c r="F4" s="123"/>
      <c r="G4" s="123"/>
      <c r="H4" s="123"/>
      <c r="I4" s="123"/>
      <c r="J4" s="123"/>
    </row>
    <row r="5" spans="2:10" ht="21.75" customHeight="1" x14ac:dyDescent="0.35"/>
    <row r="6" spans="2:10" ht="18" customHeight="1" x14ac:dyDescent="0.35">
      <c r="B6" s="41" t="s">
        <v>38</v>
      </c>
      <c r="C6" s="41" t="s">
        <v>39</v>
      </c>
      <c r="D6" s="41" t="s">
        <v>40</v>
      </c>
      <c r="E6" s="41" t="s">
        <v>172</v>
      </c>
      <c r="F6" s="41" t="s">
        <v>173</v>
      </c>
      <c r="G6" s="41" t="s">
        <v>174</v>
      </c>
      <c r="H6" s="41" t="s">
        <v>175</v>
      </c>
      <c r="I6" s="41" t="s">
        <v>176</v>
      </c>
      <c r="J6" s="41" t="s">
        <v>44</v>
      </c>
    </row>
    <row r="7" spans="2:10" ht="18" customHeight="1" x14ac:dyDescent="0.35">
      <c r="B7" s="53" t="str">
        <f>'⚙️ Setup'!B15</f>
        <v>1005</v>
      </c>
      <c r="C7" s="53" t="str">
        <f>'⚙️ Setup'!C15</f>
        <v>Project Management</v>
      </c>
      <c r="D7" s="53" t="str">
        <f>'⚙️ Setup'!D15</f>
        <v>FFP</v>
      </c>
      <c r="E7" s="74"/>
      <c r="F7" s="74">
        <v>0</v>
      </c>
      <c r="G7" s="75">
        <f t="shared" ref="G7:G15" si="0">IFERROR(E7,0)+IFERROR(F7,0)</f>
        <v>0</v>
      </c>
      <c r="H7" s="74">
        <v>50425.31</v>
      </c>
      <c r="I7" s="75">
        <f t="shared" ref="I7:I15" si="1">G7-H7</f>
        <v>-50425.31</v>
      </c>
      <c r="J7" s="45"/>
    </row>
    <row r="8" spans="2:10" ht="18" customHeight="1" x14ac:dyDescent="0.35">
      <c r="B8" s="59" t="str">
        <f>'⚙️ Setup'!B16</f>
        <v>1006</v>
      </c>
      <c r="C8" s="59" t="str">
        <f>'⚙️ Setup'!C16</f>
        <v>Software Maintenance</v>
      </c>
      <c r="D8" s="59" t="str">
        <f>'⚙️ Setup'!D16</f>
        <v>CPFF</v>
      </c>
      <c r="E8" s="74"/>
      <c r="F8" s="74"/>
      <c r="G8" s="76">
        <f t="shared" si="0"/>
        <v>0</v>
      </c>
      <c r="H8" s="71">
        <f>'💼 Labor Forecast'!O17</f>
        <v>101628.45360000001</v>
      </c>
      <c r="I8" s="76">
        <f t="shared" si="1"/>
        <v>-101628.45360000001</v>
      </c>
      <c r="J8" s="45"/>
    </row>
    <row r="9" spans="2:10" ht="18" customHeight="1" x14ac:dyDescent="0.35">
      <c r="B9" s="53" t="str">
        <f>'⚙️ Setup'!B17</f>
        <v>1007</v>
      </c>
      <c r="C9" s="53" t="str">
        <f>'⚙️ Setup'!C17</f>
        <v>Software Development</v>
      </c>
      <c r="D9" s="53" t="str">
        <f>'⚙️ Setup'!D17</f>
        <v>CPFF</v>
      </c>
      <c r="E9" s="74"/>
      <c r="F9" s="74">
        <v>0</v>
      </c>
      <c r="G9" s="75">
        <f t="shared" si="0"/>
        <v>0</v>
      </c>
      <c r="H9" s="71">
        <f>'💼 Labor Forecast'!O30</f>
        <v>101628.45360000001</v>
      </c>
      <c r="I9" s="75">
        <f t="shared" si="1"/>
        <v>-101628.45360000001</v>
      </c>
      <c r="J9" s="45"/>
    </row>
    <row r="10" spans="2:10" ht="18" customHeight="1" x14ac:dyDescent="0.35">
      <c r="B10" s="59" t="str">
        <f>'⚙️ Setup'!B18</f>
        <v>1008</v>
      </c>
      <c r="C10" s="59" t="str">
        <f>'⚙️ Setup'!C18</f>
        <v>O&amp;M</v>
      </c>
      <c r="D10" s="59" t="str">
        <f>'⚙️ Setup'!D18</f>
        <v>CPFF</v>
      </c>
      <c r="E10" s="74"/>
      <c r="F10" s="74">
        <v>0</v>
      </c>
      <c r="G10" s="76">
        <f t="shared" si="0"/>
        <v>0</v>
      </c>
      <c r="H10" s="71">
        <f>'💼 Labor Forecast'!O38</f>
        <v>23262.422400000003</v>
      </c>
      <c r="I10" s="76">
        <f t="shared" si="1"/>
        <v>-23262.422400000003</v>
      </c>
      <c r="J10" s="45"/>
    </row>
    <row r="11" spans="2:10" ht="18" customHeight="1" x14ac:dyDescent="0.35">
      <c r="B11" s="53" t="str">
        <f>'⚙️ Setup'!B19</f>
        <v>1009</v>
      </c>
      <c r="C11" s="53" t="str">
        <f>'⚙️ Setup'!C19</f>
        <v>Tier 3 Helpdesk</v>
      </c>
      <c r="D11" s="53" t="str">
        <f>'⚙️ Setup'!D19</f>
        <v>FFP</v>
      </c>
      <c r="E11" s="74"/>
      <c r="F11" s="74">
        <v>0</v>
      </c>
      <c r="G11" s="75">
        <f t="shared" si="0"/>
        <v>0</v>
      </c>
      <c r="H11" s="74">
        <v>2868.35</v>
      </c>
      <c r="I11" s="75">
        <f t="shared" si="1"/>
        <v>-2868.35</v>
      </c>
      <c r="J11" s="45"/>
    </row>
    <row r="12" spans="2:10" ht="18" customHeight="1" x14ac:dyDescent="0.35">
      <c r="B12" s="59" t="str">
        <f>'⚙️ Setup'!B20</f>
        <v>1010</v>
      </c>
      <c r="C12" s="59" t="str">
        <f>'⚙️ Setup'!C20</f>
        <v>Training</v>
      </c>
      <c r="D12" s="59" t="str">
        <f>'⚙️ Setup'!D20</f>
        <v>FFP</v>
      </c>
      <c r="E12" s="74"/>
      <c r="F12" s="74">
        <v>0</v>
      </c>
      <c r="G12" s="76">
        <f t="shared" si="0"/>
        <v>0</v>
      </c>
      <c r="H12" s="74">
        <v>16920.53</v>
      </c>
      <c r="I12" s="76">
        <f t="shared" si="1"/>
        <v>-16920.53</v>
      </c>
      <c r="J12" s="45"/>
    </row>
    <row r="13" spans="2:10" ht="18" customHeight="1" x14ac:dyDescent="0.35">
      <c r="B13" s="53" t="str">
        <f>'⚙️ Setup'!B21</f>
        <v>1016</v>
      </c>
      <c r="C13" s="53" t="str">
        <f>'⚙️ Setup'!C21</f>
        <v>NTIA</v>
      </c>
      <c r="D13" s="53" t="str">
        <f>'⚙️ Setup'!D21</f>
        <v>FFP</v>
      </c>
      <c r="E13" s="74"/>
      <c r="F13" s="74">
        <v>0</v>
      </c>
      <c r="G13" s="75">
        <f t="shared" si="0"/>
        <v>0</v>
      </c>
      <c r="H13" s="74">
        <v>22802.92</v>
      </c>
      <c r="I13" s="75">
        <f t="shared" si="1"/>
        <v>-22802.92</v>
      </c>
      <c r="J13" s="45"/>
    </row>
    <row r="14" spans="2:10" ht="18" customHeight="1" x14ac:dyDescent="0.35">
      <c r="B14" s="59" t="str">
        <f>'⚙️ Setup'!B22</f>
        <v>1017</v>
      </c>
      <c r="C14" s="59" t="str">
        <f>'⚙️ Setup'!C22</f>
        <v>Other Direct Costs</v>
      </c>
      <c r="D14" s="59" t="str">
        <f>'⚙️ Setup'!D22</f>
        <v>COST</v>
      </c>
      <c r="E14" s="74"/>
      <c r="F14" s="74">
        <v>0</v>
      </c>
      <c r="G14" s="76">
        <f t="shared" si="0"/>
        <v>0</v>
      </c>
      <c r="H14" s="74">
        <v>7000</v>
      </c>
      <c r="I14" s="76">
        <f t="shared" si="1"/>
        <v>-7000</v>
      </c>
      <c r="J14" s="45"/>
    </row>
    <row r="15" spans="2:10" ht="19.5" customHeight="1" x14ac:dyDescent="0.35">
      <c r="B15" s="53" t="str">
        <f>'⚙️ Setup'!B23</f>
        <v>1018</v>
      </c>
      <c r="C15" s="53" t="str">
        <f>'⚙️ Setup'!C23</f>
        <v>Travel</v>
      </c>
      <c r="D15" s="53" t="str">
        <f>'⚙️ Setup'!D23</f>
        <v>COST</v>
      </c>
      <c r="E15" s="74"/>
      <c r="F15" s="74">
        <v>0</v>
      </c>
      <c r="G15" s="75">
        <f t="shared" si="0"/>
        <v>0</v>
      </c>
      <c r="H15" s="74">
        <v>0</v>
      </c>
      <c r="I15" s="75">
        <f t="shared" si="1"/>
        <v>0</v>
      </c>
      <c r="J15" s="45"/>
    </row>
    <row r="16" spans="2:10" ht="15" customHeight="1" x14ac:dyDescent="0.35">
      <c r="B16" s="48" t="s">
        <v>66</v>
      </c>
      <c r="C16" s="72"/>
      <c r="D16" s="72"/>
      <c r="E16" s="77">
        <f>SUM(E7:E15)</f>
        <v>0</v>
      </c>
      <c r="F16" s="77">
        <f>SUM(F7:F15)</f>
        <v>0</v>
      </c>
      <c r="G16" s="77">
        <f>SUM(G7:G15)</f>
        <v>0</v>
      </c>
      <c r="H16" s="77">
        <f>SUM(H7:H15)</f>
        <v>326536.43959999998</v>
      </c>
      <c r="I16" s="77">
        <f>SUM(I7:I15)</f>
        <v>-326536.43959999998</v>
      </c>
      <c r="J16" s="72"/>
    </row>
  </sheetData>
  <mergeCells count="3">
    <mergeCell ref="B2:J2"/>
    <mergeCell ref="B3:J3"/>
    <mergeCell ref="B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DC3E6"/>
  </sheetPr>
  <dimension ref="B2:J16"/>
  <sheetViews>
    <sheetView showGridLines="0" zoomScaleNormal="100" workbookViewId="0">
      <selection activeCell="C38" sqref="C38"/>
    </sheetView>
  </sheetViews>
  <sheetFormatPr defaultColWidth="8.6328125" defaultRowHeight="14.5" x14ac:dyDescent="0.35"/>
  <cols>
    <col min="1" max="1" width="3" customWidth="1"/>
    <col min="2" max="2" width="10" customWidth="1"/>
    <col min="3" max="3" width="32" customWidth="1"/>
    <col min="4" max="4" width="12" customWidth="1"/>
    <col min="5" max="9" width="16" customWidth="1"/>
    <col min="10" max="10" width="20" customWidth="1"/>
  </cols>
  <sheetData>
    <row r="2" spans="2:10" ht="31.5" customHeight="1" x14ac:dyDescent="0.35">
      <c r="B2" s="186" t="s">
        <v>183</v>
      </c>
      <c r="C2" s="123"/>
      <c r="D2" s="123"/>
      <c r="E2" s="123"/>
      <c r="F2" s="123"/>
      <c r="G2" s="123"/>
      <c r="H2" s="123"/>
      <c r="I2" s="123"/>
      <c r="J2" s="123"/>
    </row>
    <row r="3" spans="2:10" ht="15.75" customHeight="1" x14ac:dyDescent="0.35">
      <c r="B3" s="188" t="s">
        <v>170</v>
      </c>
      <c r="C3" s="123"/>
      <c r="D3" s="123"/>
      <c r="E3" s="123"/>
      <c r="F3" s="123"/>
      <c r="G3" s="123"/>
      <c r="H3" s="123"/>
      <c r="I3" s="123"/>
      <c r="J3" s="123"/>
    </row>
    <row r="4" spans="2:10" ht="19.5" customHeight="1" x14ac:dyDescent="0.35">
      <c r="B4" s="192" t="s">
        <v>171</v>
      </c>
      <c r="C4" s="123"/>
      <c r="D4" s="123"/>
      <c r="E4" s="123"/>
      <c r="F4" s="123"/>
      <c r="G4" s="123"/>
      <c r="H4" s="123"/>
      <c r="I4" s="123"/>
      <c r="J4" s="123"/>
    </row>
    <row r="5" spans="2:10" ht="21.75" customHeight="1" x14ac:dyDescent="0.35"/>
    <row r="6" spans="2:10" ht="18" customHeight="1" x14ac:dyDescent="0.35">
      <c r="B6" s="41" t="s">
        <v>38</v>
      </c>
      <c r="C6" s="41" t="s">
        <v>39</v>
      </c>
      <c r="D6" s="41" t="s">
        <v>40</v>
      </c>
      <c r="E6" s="41" t="s">
        <v>172</v>
      </c>
      <c r="F6" s="41" t="s">
        <v>173</v>
      </c>
      <c r="G6" s="41" t="s">
        <v>174</v>
      </c>
      <c r="H6" s="41" t="s">
        <v>175</v>
      </c>
      <c r="I6" s="41" t="s">
        <v>176</v>
      </c>
      <c r="J6" s="41" t="s">
        <v>44</v>
      </c>
    </row>
    <row r="7" spans="2:10" ht="18" customHeight="1" x14ac:dyDescent="0.35">
      <c r="B7" s="53" t="str">
        <f>'⚙️ Setup'!B15</f>
        <v>1005</v>
      </c>
      <c r="C7" s="53" t="str">
        <f>'⚙️ Setup'!C15</f>
        <v>Project Management</v>
      </c>
      <c r="D7" s="53" t="str">
        <f>'⚙️ Setup'!D15</f>
        <v>FFP</v>
      </c>
      <c r="E7" s="68"/>
      <c r="F7" s="68">
        <v>0</v>
      </c>
      <c r="G7" s="69">
        <f t="shared" ref="G7:G15" si="0">IFERROR(E7,0)+IFERROR(F7,0)</f>
        <v>0</v>
      </c>
      <c r="H7" s="68">
        <v>48798.69</v>
      </c>
      <c r="I7" s="69">
        <f t="shared" ref="I7:I15" si="1">G7-H7</f>
        <v>-48798.69</v>
      </c>
      <c r="J7" s="45"/>
    </row>
    <row r="8" spans="2:10" ht="18" customHeight="1" x14ac:dyDescent="0.35">
      <c r="B8" s="59" t="str">
        <f>'⚙️ Setup'!B16</f>
        <v>1006</v>
      </c>
      <c r="C8" s="59" t="str">
        <f>'⚙️ Setup'!C16</f>
        <v>Software Maintenance</v>
      </c>
      <c r="D8" s="59" t="str">
        <f>'⚙️ Setup'!D16</f>
        <v>CPFF</v>
      </c>
      <c r="E8" s="68"/>
      <c r="F8" s="68">
        <v>0</v>
      </c>
      <c r="G8" s="70">
        <f t="shared" si="0"/>
        <v>0</v>
      </c>
      <c r="H8" s="71">
        <f>'💼 Labor Forecast'!Q17</f>
        <v>107020.9368</v>
      </c>
      <c r="I8" s="70">
        <f t="shared" si="1"/>
        <v>-107020.9368</v>
      </c>
      <c r="J8" s="45"/>
    </row>
    <row r="9" spans="2:10" ht="18" customHeight="1" x14ac:dyDescent="0.35">
      <c r="B9" s="53" t="str">
        <f>'⚙️ Setup'!B17</f>
        <v>1007</v>
      </c>
      <c r="C9" s="53" t="str">
        <f>'⚙️ Setup'!C17</f>
        <v>Software Development</v>
      </c>
      <c r="D9" s="53" t="str">
        <f>'⚙️ Setup'!D17</f>
        <v>CPFF</v>
      </c>
      <c r="E9" s="68"/>
      <c r="F9" s="68">
        <v>0</v>
      </c>
      <c r="G9" s="69">
        <f t="shared" si="0"/>
        <v>0</v>
      </c>
      <c r="H9" s="71">
        <f>'💼 Labor Forecast'!Q30</f>
        <v>107020.9368</v>
      </c>
      <c r="I9" s="69">
        <f t="shared" si="1"/>
        <v>-107020.9368</v>
      </c>
      <c r="J9" s="45"/>
    </row>
    <row r="10" spans="2:10" ht="18" customHeight="1" x14ac:dyDescent="0.35">
      <c r="B10" s="59" t="str">
        <f>'⚙️ Setup'!B18</f>
        <v>1008</v>
      </c>
      <c r="C10" s="59" t="str">
        <f>'⚙️ Setup'!C18</f>
        <v>O&amp;M</v>
      </c>
      <c r="D10" s="59" t="str">
        <f>'⚙️ Setup'!D18</f>
        <v>CPFF</v>
      </c>
      <c r="E10" s="68"/>
      <c r="F10" s="68">
        <v>0</v>
      </c>
      <c r="G10" s="70">
        <f t="shared" si="0"/>
        <v>0</v>
      </c>
      <c r="H10" s="71">
        <f>'💼 Labor Forecast'!Q38</f>
        <v>25477.891200000005</v>
      </c>
      <c r="I10" s="70">
        <f t="shared" si="1"/>
        <v>-25477.891200000005</v>
      </c>
      <c r="J10" s="45"/>
    </row>
    <row r="11" spans="2:10" ht="18" customHeight="1" x14ac:dyDescent="0.35">
      <c r="B11" s="53" t="str">
        <f>'⚙️ Setup'!B19</f>
        <v>1009</v>
      </c>
      <c r="C11" s="53" t="str">
        <f>'⚙️ Setup'!C19</f>
        <v>Tier 3 Helpdesk</v>
      </c>
      <c r="D11" s="53" t="str">
        <f>'⚙️ Setup'!D19</f>
        <v>FFP</v>
      </c>
      <c r="E11" s="68"/>
      <c r="F11" s="68">
        <v>0</v>
      </c>
      <c r="G11" s="69">
        <f t="shared" si="0"/>
        <v>0</v>
      </c>
      <c r="H11" s="68">
        <v>2775.82</v>
      </c>
      <c r="I11" s="69">
        <f t="shared" si="1"/>
        <v>-2775.82</v>
      </c>
      <c r="J11" s="45"/>
    </row>
    <row r="12" spans="2:10" ht="18" customHeight="1" x14ac:dyDescent="0.35">
      <c r="B12" s="59" t="str">
        <f>'⚙️ Setup'!B20</f>
        <v>1010</v>
      </c>
      <c r="C12" s="59" t="str">
        <f>'⚙️ Setup'!C20</f>
        <v>Training</v>
      </c>
      <c r="D12" s="59" t="str">
        <f>'⚙️ Setup'!D20</f>
        <v>FFP</v>
      </c>
      <c r="E12" s="68"/>
      <c r="F12" s="68">
        <v>0</v>
      </c>
      <c r="G12" s="70">
        <f t="shared" si="0"/>
        <v>0</v>
      </c>
      <c r="H12" s="68">
        <v>16374.71</v>
      </c>
      <c r="I12" s="70">
        <f t="shared" si="1"/>
        <v>-16374.71</v>
      </c>
      <c r="J12" s="45"/>
    </row>
    <row r="13" spans="2:10" ht="18" customHeight="1" x14ac:dyDescent="0.35">
      <c r="B13" s="53" t="str">
        <f>'⚙️ Setup'!B21</f>
        <v>1016</v>
      </c>
      <c r="C13" s="53" t="str">
        <f>'⚙️ Setup'!C21</f>
        <v>NTIA</v>
      </c>
      <c r="D13" s="53" t="str">
        <f>'⚙️ Setup'!D21</f>
        <v>FFP</v>
      </c>
      <c r="E13" s="68"/>
      <c r="F13" s="68">
        <v>0</v>
      </c>
      <c r="G13" s="69">
        <f t="shared" si="0"/>
        <v>0</v>
      </c>
      <c r="H13" s="68">
        <v>22067.34</v>
      </c>
      <c r="I13" s="69">
        <f t="shared" si="1"/>
        <v>-22067.34</v>
      </c>
      <c r="J13" s="45"/>
    </row>
    <row r="14" spans="2:10" ht="18" customHeight="1" x14ac:dyDescent="0.35">
      <c r="B14" s="59" t="str">
        <f>'⚙️ Setup'!B22</f>
        <v>1017</v>
      </c>
      <c r="C14" s="59" t="str">
        <f>'⚙️ Setup'!C22</f>
        <v>Other Direct Costs</v>
      </c>
      <c r="D14" s="59" t="str">
        <f>'⚙️ Setup'!D22</f>
        <v>COST</v>
      </c>
      <c r="E14" s="68"/>
      <c r="F14" s="68">
        <v>0</v>
      </c>
      <c r="G14" s="70">
        <f t="shared" si="0"/>
        <v>0</v>
      </c>
      <c r="H14" s="68">
        <v>7000</v>
      </c>
      <c r="I14" s="70">
        <f t="shared" si="1"/>
        <v>-7000</v>
      </c>
      <c r="J14" s="45"/>
    </row>
    <row r="15" spans="2:10" ht="19.5" customHeight="1" x14ac:dyDescent="0.35">
      <c r="B15" s="53" t="str">
        <f>'⚙️ Setup'!B23</f>
        <v>1018</v>
      </c>
      <c r="C15" s="53" t="str">
        <f>'⚙️ Setup'!C23</f>
        <v>Travel</v>
      </c>
      <c r="D15" s="53" t="str">
        <f>'⚙️ Setup'!D23</f>
        <v>COST</v>
      </c>
      <c r="E15" s="68"/>
      <c r="F15" s="68">
        <v>0</v>
      </c>
      <c r="G15" s="69">
        <f t="shared" si="0"/>
        <v>0</v>
      </c>
      <c r="H15" s="68">
        <v>0</v>
      </c>
      <c r="I15" s="69">
        <f t="shared" si="1"/>
        <v>0</v>
      </c>
      <c r="J15" s="45"/>
    </row>
    <row r="16" spans="2:10" ht="15" customHeight="1" x14ac:dyDescent="0.35">
      <c r="B16" s="48" t="s">
        <v>66</v>
      </c>
      <c r="C16" s="72"/>
      <c r="D16" s="72"/>
      <c r="E16" s="73">
        <f>SUM(E7:E15)</f>
        <v>0</v>
      </c>
      <c r="F16" s="73">
        <f>SUM(F7:F15)</f>
        <v>0</v>
      </c>
      <c r="G16" s="73">
        <f>SUM(G7:G15)</f>
        <v>0</v>
      </c>
      <c r="H16" s="73">
        <f>SUM(H7:H15)</f>
        <v>336536.32480000006</v>
      </c>
      <c r="I16" s="73">
        <f>SUM(I7:I15)</f>
        <v>-336536.32480000006</v>
      </c>
      <c r="J16" s="72"/>
    </row>
  </sheetData>
  <mergeCells count="3">
    <mergeCell ref="B2:J2"/>
    <mergeCell ref="B3:J3"/>
    <mergeCell ref="B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DC3E6"/>
  </sheetPr>
  <dimension ref="B2:J16"/>
  <sheetViews>
    <sheetView showGridLines="0" zoomScaleNormal="100" workbookViewId="0">
      <selection activeCell="C38" sqref="C38"/>
    </sheetView>
  </sheetViews>
  <sheetFormatPr defaultColWidth="8.6328125" defaultRowHeight="14.5" x14ac:dyDescent="0.35"/>
  <cols>
    <col min="1" max="1" width="3" customWidth="1"/>
    <col min="2" max="2" width="10" customWidth="1"/>
    <col min="3" max="3" width="32" customWidth="1"/>
    <col min="4" max="4" width="12" customWidth="1"/>
    <col min="5" max="9" width="16" customWidth="1"/>
    <col min="10" max="10" width="20" customWidth="1"/>
  </cols>
  <sheetData>
    <row r="2" spans="2:10" ht="31.5" customHeight="1" x14ac:dyDescent="0.35">
      <c r="B2" s="186" t="s">
        <v>184</v>
      </c>
      <c r="C2" s="123"/>
      <c r="D2" s="123"/>
      <c r="E2" s="123"/>
      <c r="F2" s="123"/>
      <c r="G2" s="123"/>
      <c r="H2" s="123"/>
      <c r="I2" s="123"/>
      <c r="J2" s="123"/>
    </row>
    <row r="3" spans="2:10" ht="15.75" customHeight="1" x14ac:dyDescent="0.35">
      <c r="B3" s="188" t="s">
        <v>170</v>
      </c>
      <c r="C3" s="123"/>
      <c r="D3" s="123"/>
      <c r="E3" s="123"/>
      <c r="F3" s="123"/>
      <c r="G3" s="123"/>
      <c r="H3" s="123"/>
      <c r="I3" s="123"/>
      <c r="J3" s="123"/>
    </row>
    <row r="4" spans="2:10" ht="19.5" customHeight="1" x14ac:dyDescent="0.35">
      <c r="B4" s="192" t="s">
        <v>171</v>
      </c>
      <c r="C4" s="123"/>
      <c r="D4" s="123"/>
      <c r="E4" s="123"/>
      <c r="F4" s="123"/>
      <c r="G4" s="123"/>
      <c r="H4" s="123"/>
      <c r="I4" s="123"/>
      <c r="J4" s="123"/>
    </row>
    <row r="5" spans="2:10" ht="21.75" customHeight="1" x14ac:dyDescent="0.35"/>
    <row r="6" spans="2:10" ht="18" customHeight="1" x14ac:dyDescent="0.35">
      <c r="B6" s="41" t="s">
        <v>38</v>
      </c>
      <c r="C6" s="41" t="s">
        <v>39</v>
      </c>
      <c r="D6" s="41" t="s">
        <v>40</v>
      </c>
      <c r="E6" s="41" t="s">
        <v>172</v>
      </c>
      <c r="F6" s="41" t="s">
        <v>173</v>
      </c>
      <c r="G6" s="41" t="s">
        <v>174</v>
      </c>
      <c r="H6" s="41" t="s">
        <v>175</v>
      </c>
      <c r="I6" s="41" t="s">
        <v>176</v>
      </c>
      <c r="J6" s="41" t="s">
        <v>44</v>
      </c>
    </row>
    <row r="7" spans="2:10" ht="18" customHeight="1" x14ac:dyDescent="0.35">
      <c r="B7" s="53" t="str">
        <f>'⚙️ Setup'!B15</f>
        <v>1005</v>
      </c>
      <c r="C7" s="53" t="str">
        <f>'⚙️ Setup'!C15</f>
        <v>Project Management</v>
      </c>
      <c r="D7" s="53" t="str">
        <f>'⚙️ Setup'!D15</f>
        <v>FFP</v>
      </c>
      <c r="E7" s="68"/>
      <c r="F7" s="68">
        <v>0</v>
      </c>
      <c r="G7" s="69">
        <f t="shared" ref="G7:G15" si="0">IFERROR(E7,0)+IFERROR(F7,0)</f>
        <v>0</v>
      </c>
      <c r="H7" s="68">
        <v>50425.31</v>
      </c>
      <c r="I7" s="69">
        <f t="shared" ref="I7:I15" si="1">G7-H7</f>
        <v>-50425.31</v>
      </c>
      <c r="J7" s="45"/>
    </row>
    <row r="8" spans="2:10" ht="18" customHeight="1" x14ac:dyDescent="0.35">
      <c r="B8" s="59" t="str">
        <f>'⚙️ Setup'!B16</f>
        <v>1006</v>
      </c>
      <c r="C8" s="59" t="str">
        <f>'⚙️ Setup'!C16</f>
        <v>Software Maintenance</v>
      </c>
      <c r="D8" s="59" t="str">
        <f>'⚙️ Setup'!D16</f>
        <v>CPFF</v>
      </c>
      <c r="E8" s="68"/>
      <c r="F8" s="68">
        <v>0</v>
      </c>
      <c r="G8" s="70">
        <f t="shared" si="0"/>
        <v>0</v>
      </c>
      <c r="H8" s="71">
        <f>'💼 Labor Forecast'!S17</f>
        <v>99582.393599999996</v>
      </c>
      <c r="I8" s="70">
        <f t="shared" si="1"/>
        <v>-99582.393599999996</v>
      </c>
      <c r="J8" s="45"/>
    </row>
    <row r="9" spans="2:10" ht="18" customHeight="1" x14ac:dyDescent="0.35">
      <c r="B9" s="53" t="str">
        <f>'⚙️ Setup'!B17</f>
        <v>1007</v>
      </c>
      <c r="C9" s="53" t="str">
        <f>'⚙️ Setup'!C17</f>
        <v>Software Development</v>
      </c>
      <c r="D9" s="53" t="str">
        <f>'⚙️ Setup'!D17</f>
        <v>CPFF</v>
      </c>
      <c r="E9" s="68"/>
      <c r="F9" s="68">
        <v>0</v>
      </c>
      <c r="G9" s="69">
        <f t="shared" si="0"/>
        <v>0</v>
      </c>
      <c r="H9" s="71">
        <f>'💼 Labor Forecast'!S30</f>
        <v>99582.393599999996</v>
      </c>
      <c r="I9" s="69">
        <f t="shared" si="1"/>
        <v>-99582.393599999996</v>
      </c>
      <c r="J9" s="45"/>
    </row>
    <row r="10" spans="2:10" ht="18" customHeight="1" x14ac:dyDescent="0.35">
      <c r="B10" s="59" t="str">
        <f>'⚙️ Setup'!B18</f>
        <v>1008</v>
      </c>
      <c r="C10" s="59" t="str">
        <f>'⚙️ Setup'!C18</f>
        <v>O&amp;M</v>
      </c>
      <c r="D10" s="59" t="str">
        <f>'⚙️ Setup'!D18</f>
        <v>CPFF</v>
      </c>
      <c r="E10" s="68"/>
      <c r="F10" s="68">
        <v>0</v>
      </c>
      <c r="G10" s="70">
        <f t="shared" si="0"/>
        <v>0</v>
      </c>
      <c r="H10" s="71">
        <f>'💼 Labor Forecast'!S38</f>
        <v>23262.422400000003</v>
      </c>
      <c r="I10" s="70">
        <f t="shared" si="1"/>
        <v>-23262.422400000003</v>
      </c>
      <c r="J10" s="45"/>
    </row>
    <row r="11" spans="2:10" ht="18" customHeight="1" x14ac:dyDescent="0.35">
      <c r="B11" s="53" t="str">
        <f>'⚙️ Setup'!B19</f>
        <v>1009</v>
      </c>
      <c r="C11" s="53" t="str">
        <f>'⚙️ Setup'!C19</f>
        <v>Tier 3 Helpdesk</v>
      </c>
      <c r="D11" s="53" t="str">
        <f>'⚙️ Setup'!D19</f>
        <v>FFP</v>
      </c>
      <c r="E11" s="68"/>
      <c r="F11" s="68">
        <v>0</v>
      </c>
      <c r="G11" s="69">
        <f t="shared" si="0"/>
        <v>0</v>
      </c>
      <c r="H11" s="68">
        <v>2868.35</v>
      </c>
      <c r="I11" s="69">
        <f t="shared" si="1"/>
        <v>-2868.35</v>
      </c>
      <c r="J11" s="45"/>
    </row>
    <row r="12" spans="2:10" ht="18" customHeight="1" x14ac:dyDescent="0.35">
      <c r="B12" s="59" t="str">
        <f>'⚙️ Setup'!B20</f>
        <v>1010</v>
      </c>
      <c r="C12" s="59" t="str">
        <f>'⚙️ Setup'!C20</f>
        <v>Training</v>
      </c>
      <c r="D12" s="59" t="str">
        <f>'⚙️ Setup'!D20</f>
        <v>FFP</v>
      </c>
      <c r="E12" s="68"/>
      <c r="F12" s="68">
        <v>0</v>
      </c>
      <c r="G12" s="70">
        <f t="shared" si="0"/>
        <v>0</v>
      </c>
      <c r="H12" s="68">
        <v>16920.53</v>
      </c>
      <c r="I12" s="70">
        <f t="shared" si="1"/>
        <v>-16920.53</v>
      </c>
      <c r="J12" s="45"/>
    </row>
    <row r="13" spans="2:10" ht="18" customHeight="1" x14ac:dyDescent="0.35">
      <c r="B13" s="53" t="str">
        <f>'⚙️ Setup'!B21</f>
        <v>1016</v>
      </c>
      <c r="C13" s="53" t="str">
        <f>'⚙️ Setup'!C21</f>
        <v>NTIA</v>
      </c>
      <c r="D13" s="53" t="str">
        <f>'⚙️ Setup'!D21</f>
        <v>FFP</v>
      </c>
      <c r="E13" s="68"/>
      <c r="F13" s="68">
        <v>0</v>
      </c>
      <c r="G13" s="69">
        <f t="shared" si="0"/>
        <v>0</v>
      </c>
      <c r="H13" s="68">
        <v>22802.92</v>
      </c>
      <c r="I13" s="69">
        <f t="shared" si="1"/>
        <v>-22802.92</v>
      </c>
      <c r="J13" s="45"/>
    </row>
    <row r="14" spans="2:10" ht="18" customHeight="1" x14ac:dyDescent="0.35">
      <c r="B14" s="59" t="str">
        <f>'⚙️ Setup'!B22</f>
        <v>1017</v>
      </c>
      <c r="C14" s="59" t="str">
        <f>'⚙️ Setup'!C22</f>
        <v>Other Direct Costs</v>
      </c>
      <c r="D14" s="59" t="str">
        <f>'⚙️ Setup'!D22</f>
        <v>COST</v>
      </c>
      <c r="E14" s="68"/>
      <c r="F14" s="68">
        <v>0</v>
      </c>
      <c r="G14" s="70">
        <f t="shared" si="0"/>
        <v>0</v>
      </c>
      <c r="H14" s="68">
        <v>7000</v>
      </c>
      <c r="I14" s="70">
        <f t="shared" si="1"/>
        <v>-7000</v>
      </c>
      <c r="J14" s="45"/>
    </row>
    <row r="15" spans="2:10" ht="19.5" customHeight="1" x14ac:dyDescent="0.35">
      <c r="B15" s="53" t="str">
        <f>'⚙️ Setup'!B23</f>
        <v>1018</v>
      </c>
      <c r="C15" s="53" t="str">
        <f>'⚙️ Setup'!C23</f>
        <v>Travel</v>
      </c>
      <c r="D15" s="53" t="str">
        <f>'⚙️ Setup'!D23</f>
        <v>COST</v>
      </c>
      <c r="E15" s="68"/>
      <c r="F15" s="68">
        <v>0</v>
      </c>
      <c r="G15" s="69">
        <f t="shared" si="0"/>
        <v>0</v>
      </c>
      <c r="H15" s="68">
        <v>0</v>
      </c>
      <c r="I15" s="69">
        <f t="shared" si="1"/>
        <v>0</v>
      </c>
      <c r="J15" s="45"/>
    </row>
    <row r="16" spans="2:10" ht="15" customHeight="1" x14ac:dyDescent="0.35">
      <c r="B16" s="48" t="s">
        <v>66</v>
      </c>
      <c r="C16" s="72"/>
      <c r="D16" s="72"/>
      <c r="E16" s="73">
        <f>SUM(E7:E15)</f>
        <v>0</v>
      </c>
      <c r="F16" s="73">
        <f>SUM(F7:F15)</f>
        <v>0</v>
      </c>
      <c r="G16" s="73">
        <f>SUM(G7:G15)</f>
        <v>0</v>
      </c>
      <c r="H16" s="73">
        <f>SUM(H7:H15)</f>
        <v>322444.31959999999</v>
      </c>
      <c r="I16" s="73">
        <f>SUM(I7:I15)</f>
        <v>-322444.31959999999</v>
      </c>
      <c r="J16" s="72"/>
    </row>
  </sheetData>
  <mergeCells count="3">
    <mergeCell ref="B2:J2"/>
    <mergeCell ref="B3:J3"/>
    <mergeCell ref="B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DC3E6"/>
  </sheetPr>
  <dimension ref="B2:J16"/>
  <sheetViews>
    <sheetView showGridLines="0" zoomScaleNormal="100" workbookViewId="0">
      <selection activeCell="C38" sqref="C38"/>
    </sheetView>
  </sheetViews>
  <sheetFormatPr defaultColWidth="8.6328125" defaultRowHeight="14.5" x14ac:dyDescent="0.35"/>
  <cols>
    <col min="1" max="1" width="3" customWidth="1"/>
    <col min="2" max="2" width="10" customWidth="1"/>
    <col min="3" max="3" width="32" customWidth="1"/>
    <col min="4" max="4" width="12" customWidth="1"/>
    <col min="5" max="9" width="16" customWidth="1"/>
    <col min="10" max="10" width="20" customWidth="1"/>
  </cols>
  <sheetData>
    <row r="2" spans="2:10" ht="31.5" customHeight="1" x14ac:dyDescent="0.35">
      <c r="B2" s="186" t="s">
        <v>185</v>
      </c>
      <c r="C2" s="123"/>
      <c r="D2" s="123"/>
      <c r="E2" s="123"/>
      <c r="F2" s="123"/>
      <c r="G2" s="123"/>
      <c r="H2" s="123"/>
      <c r="I2" s="123"/>
      <c r="J2" s="123"/>
    </row>
    <row r="3" spans="2:10" ht="15.75" customHeight="1" x14ac:dyDescent="0.35">
      <c r="B3" s="188" t="s">
        <v>170</v>
      </c>
      <c r="C3" s="123"/>
      <c r="D3" s="123"/>
      <c r="E3" s="123"/>
      <c r="F3" s="123"/>
      <c r="G3" s="123"/>
      <c r="H3" s="123"/>
      <c r="I3" s="123"/>
      <c r="J3" s="123"/>
    </row>
    <row r="4" spans="2:10" ht="19.5" customHeight="1" x14ac:dyDescent="0.35">
      <c r="B4" s="192" t="s">
        <v>171</v>
      </c>
      <c r="C4" s="123"/>
      <c r="D4" s="123"/>
      <c r="E4" s="123"/>
      <c r="F4" s="123"/>
      <c r="G4" s="123"/>
      <c r="H4" s="123"/>
      <c r="I4" s="123"/>
      <c r="J4" s="123"/>
    </row>
    <row r="5" spans="2:10" ht="21.75" customHeight="1" x14ac:dyDescent="0.35"/>
    <row r="6" spans="2:10" ht="18" customHeight="1" x14ac:dyDescent="0.35">
      <c r="B6" s="41" t="s">
        <v>38</v>
      </c>
      <c r="C6" s="41" t="s">
        <v>39</v>
      </c>
      <c r="D6" s="41" t="s">
        <v>40</v>
      </c>
      <c r="E6" s="41" t="s">
        <v>172</v>
      </c>
      <c r="F6" s="41" t="s">
        <v>173</v>
      </c>
      <c r="G6" s="41" t="s">
        <v>174</v>
      </c>
      <c r="H6" s="41" t="s">
        <v>175</v>
      </c>
      <c r="I6" s="41" t="s">
        <v>176</v>
      </c>
      <c r="J6" s="41" t="s">
        <v>44</v>
      </c>
    </row>
    <row r="7" spans="2:10" ht="18" customHeight="1" x14ac:dyDescent="0.35">
      <c r="B7" s="53" t="str">
        <f>'⚙️ Setup'!B15</f>
        <v>1005</v>
      </c>
      <c r="C7" s="53" t="str">
        <f>'⚙️ Setup'!C15</f>
        <v>Project Management</v>
      </c>
      <c r="D7" s="53" t="str">
        <f>'⚙️ Setup'!D15</f>
        <v>FFP</v>
      </c>
      <c r="E7" s="68"/>
      <c r="F7" s="68">
        <v>0</v>
      </c>
      <c r="G7" s="69">
        <f t="shared" ref="G7:G15" si="0">IFERROR(E7,0)+IFERROR(F7,0)</f>
        <v>0</v>
      </c>
      <c r="H7" s="68">
        <v>50425.31</v>
      </c>
      <c r="I7" s="69">
        <f t="shared" ref="I7:I15" si="1">G7-H7</f>
        <v>-50425.31</v>
      </c>
      <c r="J7" s="45"/>
    </row>
    <row r="8" spans="2:10" ht="18" customHeight="1" x14ac:dyDescent="0.35">
      <c r="B8" s="59" t="str">
        <f>'⚙️ Setup'!B16</f>
        <v>1006</v>
      </c>
      <c r="C8" s="59" t="str">
        <f>'⚙️ Setup'!C16</f>
        <v>Software Maintenance</v>
      </c>
      <c r="D8" s="59" t="str">
        <f>'⚙️ Setup'!D16</f>
        <v>CPFF</v>
      </c>
      <c r="E8" s="68"/>
      <c r="F8" s="68">
        <v>0</v>
      </c>
      <c r="G8" s="70">
        <f t="shared" si="0"/>
        <v>0</v>
      </c>
      <c r="H8" s="71">
        <f>'💼 Labor Forecast'!U17</f>
        <v>102278.63519999999</v>
      </c>
      <c r="I8" s="70">
        <f t="shared" si="1"/>
        <v>-102278.63519999999</v>
      </c>
      <c r="J8" s="45"/>
    </row>
    <row r="9" spans="2:10" ht="18" customHeight="1" x14ac:dyDescent="0.35">
      <c r="B9" s="53" t="str">
        <f>'⚙️ Setup'!B17</f>
        <v>1007</v>
      </c>
      <c r="C9" s="53" t="str">
        <f>'⚙️ Setup'!C17</f>
        <v>Software Development</v>
      </c>
      <c r="D9" s="53" t="str">
        <f>'⚙️ Setup'!D17</f>
        <v>CPFF</v>
      </c>
      <c r="E9" s="68"/>
      <c r="F9" s="68">
        <v>0</v>
      </c>
      <c r="G9" s="69">
        <f t="shared" si="0"/>
        <v>0</v>
      </c>
      <c r="H9" s="71">
        <f>'💼 Labor Forecast'!U30</f>
        <v>102278.63519999999</v>
      </c>
      <c r="I9" s="69">
        <f t="shared" si="1"/>
        <v>-102278.63519999999</v>
      </c>
      <c r="J9" s="45"/>
    </row>
    <row r="10" spans="2:10" ht="18" customHeight="1" x14ac:dyDescent="0.35">
      <c r="B10" s="59" t="str">
        <f>'⚙️ Setup'!B18</f>
        <v>1008</v>
      </c>
      <c r="C10" s="59" t="str">
        <f>'⚙️ Setup'!C18</f>
        <v>O&amp;M</v>
      </c>
      <c r="D10" s="59" t="str">
        <f>'⚙️ Setup'!D18</f>
        <v>CPFF</v>
      </c>
      <c r="E10" s="68"/>
      <c r="F10" s="68">
        <v>0</v>
      </c>
      <c r="G10" s="70">
        <f t="shared" si="0"/>
        <v>0</v>
      </c>
      <c r="H10" s="71">
        <f>'💼 Labor Forecast'!U38</f>
        <v>24370.156800000004</v>
      </c>
      <c r="I10" s="70">
        <f t="shared" si="1"/>
        <v>-24370.156800000004</v>
      </c>
      <c r="J10" s="45"/>
    </row>
    <row r="11" spans="2:10" ht="18" customHeight="1" x14ac:dyDescent="0.35">
      <c r="B11" s="53" t="str">
        <f>'⚙️ Setup'!B19</f>
        <v>1009</v>
      </c>
      <c r="C11" s="53" t="str">
        <f>'⚙️ Setup'!C19</f>
        <v>Tier 3 Helpdesk</v>
      </c>
      <c r="D11" s="53" t="str">
        <f>'⚙️ Setup'!D19</f>
        <v>FFP</v>
      </c>
      <c r="E11" s="68"/>
      <c r="F11" s="68">
        <v>0</v>
      </c>
      <c r="G11" s="69">
        <f t="shared" si="0"/>
        <v>0</v>
      </c>
      <c r="H11" s="68">
        <v>2868.35</v>
      </c>
      <c r="I11" s="69">
        <f t="shared" si="1"/>
        <v>-2868.35</v>
      </c>
      <c r="J11" s="45"/>
    </row>
    <row r="12" spans="2:10" ht="18" customHeight="1" x14ac:dyDescent="0.35">
      <c r="B12" s="59" t="str">
        <f>'⚙️ Setup'!B20</f>
        <v>1010</v>
      </c>
      <c r="C12" s="59" t="str">
        <f>'⚙️ Setup'!C20</f>
        <v>Training</v>
      </c>
      <c r="D12" s="59" t="str">
        <f>'⚙️ Setup'!D20</f>
        <v>FFP</v>
      </c>
      <c r="E12" s="68"/>
      <c r="F12" s="68">
        <v>0</v>
      </c>
      <c r="G12" s="70">
        <f t="shared" si="0"/>
        <v>0</v>
      </c>
      <c r="H12" s="68">
        <v>16920.53</v>
      </c>
      <c r="I12" s="70">
        <f t="shared" si="1"/>
        <v>-16920.53</v>
      </c>
      <c r="J12" s="45"/>
    </row>
    <row r="13" spans="2:10" ht="18" customHeight="1" x14ac:dyDescent="0.35">
      <c r="B13" s="53" t="str">
        <f>'⚙️ Setup'!B21</f>
        <v>1016</v>
      </c>
      <c r="C13" s="53" t="str">
        <f>'⚙️ Setup'!C21</f>
        <v>NTIA</v>
      </c>
      <c r="D13" s="53" t="str">
        <f>'⚙️ Setup'!D21</f>
        <v>FFP</v>
      </c>
      <c r="E13" s="68"/>
      <c r="F13" s="68">
        <v>0</v>
      </c>
      <c r="G13" s="69">
        <f t="shared" si="0"/>
        <v>0</v>
      </c>
      <c r="H13" s="68">
        <v>22802.92</v>
      </c>
      <c r="I13" s="69">
        <f t="shared" si="1"/>
        <v>-22802.92</v>
      </c>
      <c r="J13" s="45"/>
    </row>
    <row r="14" spans="2:10" ht="18" customHeight="1" x14ac:dyDescent="0.35">
      <c r="B14" s="59" t="str">
        <f>'⚙️ Setup'!B22</f>
        <v>1017</v>
      </c>
      <c r="C14" s="59" t="str">
        <f>'⚙️ Setup'!C22</f>
        <v>Other Direct Costs</v>
      </c>
      <c r="D14" s="59" t="str">
        <f>'⚙️ Setup'!D22</f>
        <v>COST</v>
      </c>
      <c r="E14" s="68"/>
      <c r="F14" s="68">
        <v>0</v>
      </c>
      <c r="G14" s="70">
        <f t="shared" si="0"/>
        <v>0</v>
      </c>
      <c r="H14" s="68">
        <v>7000</v>
      </c>
      <c r="I14" s="70">
        <f t="shared" si="1"/>
        <v>-7000</v>
      </c>
      <c r="J14" s="45"/>
    </row>
    <row r="15" spans="2:10" ht="19.5" customHeight="1" x14ac:dyDescent="0.35">
      <c r="B15" s="53" t="str">
        <f>'⚙️ Setup'!B23</f>
        <v>1018</v>
      </c>
      <c r="C15" s="53" t="str">
        <f>'⚙️ Setup'!C23</f>
        <v>Travel</v>
      </c>
      <c r="D15" s="53" t="str">
        <f>'⚙️ Setup'!D23</f>
        <v>COST</v>
      </c>
      <c r="E15" s="68"/>
      <c r="F15" s="68">
        <v>0</v>
      </c>
      <c r="G15" s="69">
        <f t="shared" si="0"/>
        <v>0</v>
      </c>
      <c r="H15" s="68">
        <v>0</v>
      </c>
      <c r="I15" s="69">
        <f t="shared" si="1"/>
        <v>0</v>
      </c>
      <c r="J15" s="45"/>
    </row>
    <row r="16" spans="2:10" ht="15" customHeight="1" x14ac:dyDescent="0.35">
      <c r="B16" s="48" t="s">
        <v>66</v>
      </c>
      <c r="C16" s="72"/>
      <c r="D16" s="72"/>
      <c r="E16" s="73">
        <f>SUM(E7:E15)</f>
        <v>0</v>
      </c>
      <c r="F16" s="73">
        <f>SUM(F7:F15)</f>
        <v>0</v>
      </c>
      <c r="G16" s="73">
        <f>SUM(G7:G15)</f>
        <v>0</v>
      </c>
      <c r="H16" s="73">
        <f>SUM(H7:H15)</f>
        <v>328944.53719999996</v>
      </c>
      <c r="I16" s="73">
        <f>SUM(I7:I15)</f>
        <v>-328944.53719999996</v>
      </c>
      <c r="J16" s="72"/>
    </row>
  </sheetData>
  <mergeCells count="3">
    <mergeCell ref="B2:J2"/>
    <mergeCell ref="B3:J3"/>
    <mergeCell ref="B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DC3E6"/>
  </sheetPr>
  <dimension ref="B2:J16"/>
  <sheetViews>
    <sheetView showGridLines="0" zoomScaleNormal="100" workbookViewId="0">
      <selection activeCell="C38" sqref="C38"/>
    </sheetView>
  </sheetViews>
  <sheetFormatPr defaultColWidth="8.6328125" defaultRowHeight="14.5" x14ac:dyDescent="0.35"/>
  <cols>
    <col min="1" max="1" width="3" customWidth="1"/>
    <col min="2" max="2" width="10" customWidth="1"/>
    <col min="3" max="3" width="32" customWidth="1"/>
    <col min="4" max="4" width="12" customWidth="1"/>
    <col min="5" max="9" width="16" customWidth="1"/>
    <col min="10" max="10" width="20" customWidth="1"/>
  </cols>
  <sheetData>
    <row r="2" spans="2:10" ht="31.5" customHeight="1" x14ac:dyDescent="0.35">
      <c r="B2" s="186" t="s">
        <v>186</v>
      </c>
      <c r="C2" s="123"/>
      <c r="D2" s="123"/>
      <c r="E2" s="123"/>
      <c r="F2" s="123"/>
      <c r="G2" s="123"/>
      <c r="H2" s="123"/>
      <c r="I2" s="123"/>
      <c r="J2" s="123"/>
    </row>
    <row r="3" spans="2:10" ht="15.75" customHeight="1" x14ac:dyDescent="0.35">
      <c r="B3" s="188" t="s">
        <v>170</v>
      </c>
      <c r="C3" s="123"/>
      <c r="D3" s="123"/>
      <c r="E3" s="123"/>
      <c r="F3" s="123"/>
      <c r="G3" s="123"/>
      <c r="H3" s="123"/>
      <c r="I3" s="123"/>
      <c r="J3" s="123"/>
    </row>
    <row r="4" spans="2:10" ht="19.5" customHeight="1" x14ac:dyDescent="0.35">
      <c r="B4" s="192" t="s">
        <v>171</v>
      </c>
      <c r="C4" s="123"/>
      <c r="D4" s="123"/>
      <c r="E4" s="123"/>
      <c r="F4" s="123"/>
      <c r="G4" s="123"/>
      <c r="H4" s="123"/>
      <c r="I4" s="123"/>
      <c r="J4" s="123"/>
    </row>
    <row r="5" spans="2:10" ht="21.75" customHeight="1" x14ac:dyDescent="0.35"/>
    <row r="6" spans="2:10" ht="18" customHeight="1" x14ac:dyDescent="0.35">
      <c r="B6" s="41" t="s">
        <v>38</v>
      </c>
      <c r="C6" s="41" t="s">
        <v>39</v>
      </c>
      <c r="D6" s="41" t="s">
        <v>40</v>
      </c>
      <c r="E6" s="41" t="s">
        <v>172</v>
      </c>
      <c r="F6" s="41" t="s">
        <v>173</v>
      </c>
      <c r="G6" s="41" t="s">
        <v>174</v>
      </c>
      <c r="H6" s="41" t="s">
        <v>175</v>
      </c>
      <c r="I6" s="41" t="s">
        <v>176</v>
      </c>
      <c r="J6" s="41" t="s">
        <v>44</v>
      </c>
    </row>
    <row r="7" spans="2:10" ht="18" customHeight="1" x14ac:dyDescent="0.35">
      <c r="B7" s="53" t="str">
        <f>'⚙️ Setup'!B15</f>
        <v>1005</v>
      </c>
      <c r="C7" s="53" t="str">
        <f>'⚙️ Setup'!C15</f>
        <v>Project Management</v>
      </c>
      <c r="D7" s="53" t="str">
        <f>'⚙️ Setup'!D15</f>
        <v>FFP</v>
      </c>
      <c r="E7" s="68"/>
      <c r="F7" s="68">
        <v>0</v>
      </c>
      <c r="G7" s="69">
        <f t="shared" ref="G7:G15" si="0">IFERROR(E7,0)+IFERROR(F7,0)</f>
        <v>0</v>
      </c>
      <c r="H7" s="68">
        <v>48798.69</v>
      </c>
      <c r="I7" s="69">
        <f t="shared" ref="I7:I15" si="1">G7-H7</f>
        <v>-48798.69</v>
      </c>
      <c r="J7" s="45"/>
    </row>
    <row r="8" spans="2:10" ht="18" customHeight="1" x14ac:dyDescent="0.35">
      <c r="B8" s="59" t="str">
        <f>'⚙️ Setup'!B16</f>
        <v>1006</v>
      </c>
      <c r="C8" s="59" t="str">
        <f>'⚙️ Setup'!C16</f>
        <v>Software Maintenance</v>
      </c>
      <c r="D8" s="59" t="str">
        <f>'⚙️ Setup'!D16</f>
        <v>CPFF</v>
      </c>
      <c r="E8" s="68"/>
      <c r="F8" s="68">
        <v>0</v>
      </c>
      <c r="G8" s="70">
        <f t="shared" si="0"/>
        <v>0</v>
      </c>
      <c r="H8" s="71">
        <f>'💼 Labor Forecast'!W17</f>
        <v>89644.795200000008</v>
      </c>
      <c r="I8" s="70">
        <f t="shared" si="1"/>
        <v>-89644.795200000008</v>
      </c>
      <c r="J8" s="45"/>
    </row>
    <row r="9" spans="2:10" ht="18" customHeight="1" x14ac:dyDescent="0.35">
      <c r="B9" s="53" t="str">
        <f>'⚙️ Setup'!B17</f>
        <v>1007</v>
      </c>
      <c r="C9" s="53" t="str">
        <f>'⚙️ Setup'!C17</f>
        <v>Software Development</v>
      </c>
      <c r="D9" s="53" t="str">
        <f>'⚙️ Setup'!D17</f>
        <v>CPFF</v>
      </c>
      <c r="E9" s="68"/>
      <c r="F9" s="68">
        <v>0</v>
      </c>
      <c r="G9" s="69">
        <f t="shared" si="0"/>
        <v>0</v>
      </c>
      <c r="H9" s="71">
        <f>'💼 Labor Forecast'!W30</f>
        <v>89644.795200000008</v>
      </c>
      <c r="I9" s="69">
        <f t="shared" si="1"/>
        <v>-89644.795200000008</v>
      </c>
      <c r="J9" s="45"/>
    </row>
    <row r="10" spans="2:10" ht="18" customHeight="1" x14ac:dyDescent="0.35">
      <c r="B10" s="59" t="str">
        <f>'⚙️ Setup'!B18</f>
        <v>1008</v>
      </c>
      <c r="C10" s="59" t="str">
        <f>'⚙️ Setup'!C18</f>
        <v>O&amp;M</v>
      </c>
      <c r="D10" s="59" t="str">
        <f>'⚙️ Setup'!D18</f>
        <v>CPFF</v>
      </c>
      <c r="E10" s="68"/>
      <c r="F10" s="68">
        <v>0</v>
      </c>
      <c r="G10" s="70">
        <f t="shared" si="0"/>
        <v>0</v>
      </c>
      <c r="H10" s="71">
        <f>'💼 Labor Forecast'!W38</f>
        <v>24370.156800000004</v>
      </c>
      <c r="I10" s="70">
        <f t="shared" si="1"/>
        <v>-24370.156800000004</v>
      </c>
      <c r="J10" s="45"/>
    </row>
    <row r="11" spans="2:10" ht="18" customHeight="1" x14ac:dyDescent="0.35">
      <c r="B11" s="53" t="str">
        <f>'⚙️ Setup'!B19</f>
        <v>1009</v>
      </c>
      <c r="C11" s="53" t="str">
        <f>'⚙️ Setup'!C19</f>
        <v>Tier 3 Helpdesk</v>
      </c>
      <c r="D11" s="53" t="str">
        <f>'⚙️ Setup'!D19</f>
        <v>FFP</v>
      </c>
      <c r="E11" s="68"/>
      <c r="F11" s="68">
        <v>0</v>
      </c>
      <c r="G11" s="69">
        <f t="shared" si="0"/>
        <v>0</v>
      </c>
      <c r="H11" s="68">
        <v>2775.82</v>
      </c>
      <c r="I11" s="69">
        <f t="shared" si="1"/>
        <v>-2775.82</v>
      </c>
      <c r="J11" s="45"/>
    </row>
    <row r="12" spans="2:10" ht="18" customHeight="1" x14ac:dyDescent="0.35">
      <c r="B12" s="59" t="str">
        <f>'⚙️ Setup'!B20</f>
        <v>1010</v>
      </c>
      <c r="C12" s="59" t="str">
        <f>'⚙️ Setup'!C20</f>
        <v>Training</v>
      </c>
      <c r="D12" s="59" t="str">
        <f>'⚙️ Setup'!D20</f>
        <v>FFP</v>
      </c>
      <c r="E12" s="68"/>
      <c r="F12" s="68">
        <v>0</v>
      </c>
      <c r="G12" s="70">
        <f t="shared" si="0"/>
        <v>0</v>
      </c>
      <c r="H12" s="68">
        <v>16374.71</v>
      </c>
      <c r="I12" s="70">
        <f t="shared" si="1"/>
        <v>-16374.71</v>
      </c>
      <c r="J12" s="45"/>
    </row>
    <row r="13" spans="2:10" ht="18" customHeight="1" x14ac:dyDescent="0.35">
      <c r="B13" s="53" t="str">
        <f>'⚙️ Setup'!B21</f>
        <v>1016</v>
      </c>
      <c r="C13" s="53" t="str">
        <f>'⚙️ Setup'!C21</f>
        <v>NTIA</v>
      </c>
      <c r="D13" s="53" t="str">
        <f>'⚙️ Setup'!D21</f>
        <v>FFP</v>
      </c>
      <c r="E13" s="68"/>
      <c r="F13" s="68">
        <v>0</v>
      </c>
      <c r="G13" s="69">
        <f t="shared" si="0"/>
        <v>0</v>
      </c>
      <c r="H13" s="68">
        <v>22067.34</v>
      </c>
      <c r="I13" s="69">
        <f t="shared" si="1"/>
        <v>-22067.34</v>
      </c>
      <c r="J13" s="45"/>
    </row>
    <row r="14" spans="2:10" ht="18" customHeight="1" x14ac:dyDescent="0.35">
      <c r="B14" s="59" t="str">
        <f>'⚙️ Setup'!B22</f>
        <v>1017</v>
      </c>
      <c r="C14" s="59" t="str">
        <f>'⚙️ Setup'!C22</f>
        <v>Other Direct Costs</v>
      </c>
      <c r="D14" s="59" t="str">
        <f>'⚙️ Setup'!D22</f>
        <v>COST</v>
      </c>
      <c r="E14" s="68"/>
      <c r="F14" s="68">
        <v>0</v>
      </c>
      <c r="G14" s="70">
        <f t="shared" si="0"/>
        <v>0</v>
      </c>
      <c r="H14" s="68">
        <v>7000</v>
      </c>
      <c r="I14" s="70">
        <f t="shared" si="1"/>
        <v>-7000</v>
      </c>
      <c r="J14" s="45"/>
    </row>
    <row r="15" spans="2:10" ht="19.5" customHeight="1" x14ac:dyDescent="0.35">
      <c r="B15" s="53" t="str">
        <f>'⚙️ Setup'!B23</f>
        <v>1018</v>
      </c>
      <c r="C15" s="53" t="str">
        <f>'⚙️ Setup'!C23</f>
        <v>Travel</v>
      </c>
      <c r="D15" s="53" t="str">
        <f>'⚙️ Setup'!D23</f>
        <v>COST</v>
      </c>
      <c r="E15" s="68"/>
      <c r="F15" s="68">
        <v>0</v>
      </c>
      <c r="G15" s="69">
        <f t="shared" si="0"/>
        <v>0</v>
      </c>
      <c r="H15" s="68">
        <v>0</v>
      </c>
      <c r="I15" s="69">
        <f t="shared" si="1"/>
        <v>0</v>
      </c>
      <c r="J15" s="45"/>
    </row>
    <row r="16" spans="2:10" ht="15" customHeight="1" x14ac:dyDescent="0.35">
      <c r="B16" s="48" t="s">
        <v>66</v>
      </c>
      <c r="C16" s="72"/>
      <c r="D16" s="72"/>
      <c r="E16" s="73">
        <f>SUM(E7:E15)</f>
        <v>0</v>
      </c>
      <c r="F16" s="73">
        <f>SUM(F7:F15)</f>
        <v>0</v>
      </c>
      <c r="G16" s="73">
        <f>SUM(G7:G15)</f>
        <v>0</v>
      </c>
      <c r="H16" s="73">
        <f>SUM(H7:H15)</f>
        <v>300676.30720000004</v>
      </c>
      <c r="I16" s="73">
        <f>SUM(I7:I15)</f>
        <v>-300676.30720000004</v>
      </c>
      <c r="J16" s="72"/>
    </row>
  </sheetData>
  <mergeCells count="3">
    <mergeCell ref="B2:J2"/>
    <mergeCell ref="B3:J3"/>
    <mergeCell ref="B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DC3E6"/>
  </sheetPr>
  <dimension ref="B2:J16"/>
  <sheetViews>
    <sheetView showGridLines="0" zoomScaleNormal="100" workbookViewId="0">
      <selection activeCell="C38" sqref="C38"/>
    </sheetView>
  </sheetViews>
  <sheetFormatPr defaultColWidth="8.6328125" defaultRowHeight="14.5" x14ac:dyDescent="0.35"/>
  <cols>
    <col min="1" max="1" width="3" customWidth="1"/>
    <col min="2" max="2" width="10" customWidth="1"/>
    <col min="3" max="3" width="32" customWidth="1"/>
    <col min="4" max="4" width="12" customWidth="1"/>
    <col min="5" max="9" width="16" customWidth="1"/>
    <col min="10" max="10" width="20" customWidth="1"/>
  </cols>
  <sheetData>
    <row r="2" spans="2:10" ht="31.5" customHeight="1" x14ac:dyDescent="0.35">
      <c r="B2" s="186" t="s">
        <v>187</v>
      </c>
      <c r="C2" s="123"/>
      <c r="D2" s="123"/>
      <c r="E2" s="123"/>
      <c r="F2" s="123"/>
      <c r="G2" s="123"/>
      <c r="H2" s="123"/>
      <c r="I2" s="123"/>
      <c r="J2" s="123"/>
    </row>
    <row r="3" spans="2:10" ht="15.75" customHeight="1" x14ac:dyDescent="0.35">
      <c r="B3" s="188" t="s">
        <v>170</v>
      </c>
      <c r="C3" s="123"/>
      <c r="D3" s="123"/>
      <c r="E3" s="123"/>
      <c r="F3" s="123"/>
      <c r="G3" s="123"/>
      <c r="H3" s="123"/>
      <c r="I3" s="123"/>
      <c r="J3" s="123"/>
    </row>
    <row r="4" spans="2:10" ht="19.5" customHeight="1" x14ac:dyDescent="0.35">
      <c r="B4" s="192" t="s">
        <v>171</v>
      </c>
      <c r="C4" s="123"/>
      <c r="D4" s="123"/>
      <c r="E4" s="123"/>
      <c r="F4" s="123"/>
      <c r="G4" s="123"/>
      <c r="H4" s="123"/>
      <c r="I4" s="123"/>
      <c r="J4" s="123"/>
    </row>
    <row r="5" spans="2:10" ht="21.75" customHeight="1" x14ac:dyDescent="0.35"/>
    <row r="6" spans="2:10" ht="18" customHeight="1" x14ac:dyDescent="0.35">
      <c r="B6" s="41" t="s">
        <v>38</v>
      </c>
      <c r="C6" s="41" t="s">
        <v>39</v>
      </c>
      <c r="D6" s="41" t="s">
        <v>40</v>
      </c>
      <c r="E6" s="41" t="s">
        <v>172</v>
      </c>
      <c r="F6" s="41" t="s">
        <v>173</v>
      </c>
      <c r="G6" s="41" t="s">
        <v>174</v>
      </c>
      <c r="H6" s="41" t="s">
        <v>175</v>
      </c>
      <c r="I6" s="41" t="s">
        <v>176</v>
      </c>
      <c r="J6" s="41" t="s">
        <v>44</v>
      </c>
    </row>
    <row r="7" spans="2:10" ht="18" customHeight="1" x14ac:dyDescent="0.35">
      <c r="B7" s="53" t="str">
        <f>'⚙️ Setup'!B15</f>
        <v>1005</v>
      </c>
      <c r="C7" s="53" t="str">
        <f>'⚙️ Setup'!C15</f>
        <v>Project Management</v>
      </c>
      <c r="D7" s="53" t="str">
        <f>'⚙️ Setup'!D15</f>
        <v>FFP</v>
      </c>
      <c r="E7" s="68"/>
      <c r="F7" s="68">
        <v>0</v>
      </c>
      <c r="G7" s="69">
        <f t="shared" ref="G7:G15" si="0">IFERROR(E7,0)+IFERROR(F7,0)</f>
        <v>0</v>
      </c>
      <c r="H7" s="68">
        <v>50425.31</v>
      </c>
      <c r="I7" s="69">
        <f t="shared" ref="I7:I15" si="1">G7-H7</f>
        <v>-50425.31</v>
      </c>
      <c r="J7" s="45"/>
    </row>
    <row r="8" spans="2:10" ht="18" customHeight="1" x14ac:dyDescent="0.35">
      <c r="B8" s="59" t="str">
        <f>'⚙️ Setup'!B16</f>
        <v>1006</v>
      </c>
      <c r="C8" s="59" t="str">
        <f>'⚙️ Setup'!C16</f>
        <v>Software Maintenance</v>
      </c>
      <c r="D8" s="59" t="str">
        <f>'⚙️ Setup'!D16</f>
        <v>CPFF</v>
      </c>
      <c r="E8" s="68"/>
      <c r="F8" s="68">
        <v>0</v>
      </c>
      <c r="G8" s="70">
        <f t="shared" si="0"/>
        <v>0</v>
      </c>
      <c r="H8" s="71">
        <f>'💼 Labor Forecast'!Y17</f>
        <v>63700.452000000005</v>
      </c>
      <c r="I8" s="70">
        <f t="shared" si="1"/>
        <v>-63700.452000000005</v>
      </c>
      <c r="J8" s="45"/>
    </row>
    <row r="9" spans="2:10" ht="18" customHeight="1" x14ac:dyDescent="0.35">
      <c r="B9" s="53" t="str">
        <f>'⚙️ Setup'!B17</f>
        <v>1007</v>
      </c>
      <c r="C9" s="53" t="str">
        <f>'⚙️ Setup'!C17</f>
        <v>Software Development</v>
      </c>
      <c r="D9" s="53" t="str">
        <f>'⚙️ Setup'!D17</f>
        <v>CPFF</v>
      </c>
      <c r="E9" s="68"/>
      <c r="F9" s="68">
        <v>0</v>
      </c>
      <c r="G9" s="69">
        <f t="shared" si="0"/>
        <v>0</v>
      </c>
      <c r="H9" s="71">
        <f>'💼 Labor Forecast'!Y30</f>
        <v>63700.452000000005</v>
      </c>
      <c r="I9" s="69">
        <f t="shared" si="1"/>
        <v>-63700.452000000005</v>
      </c>
      <c r="J9" s="45"/>
    </row>
    <row r="10" spans="2:10" ht="18" customHeight="1" x14ac:dyDescent="0.35">
      <c r="B10" s="59" t="str">
        <f>'⚙️ Setup'!B18</f>
        <v>1008</v>
      </c>
      <c r="C10" s="59" t="str">
        <f>'⚙️ Setup'!C18</f>
        <v>O&amp;M</v>
      </c>
      <c r="D10" s="59" t="str">
        <f>'⚙️ Setup'!D18</f>
        <v>CPFF</v>
      </c>
      <c r="E10" s="68"/>
      <c r="F10" s="68">
        <v>0</v>
      </c>
      <c r="G10" s="70">
        <f t="shared" si="0"/>
        <v>0</v>
      </c>
      <c r="H10" s="71">
        <f>'💼 Labor Forecast'!Y38</f>
        <v>22154.688000000006</v>
      </c>
      <c r="I10" s="70">
        <f t="shared" si="1"/>
        <v>-22154.688000000006</v>
      </c>
      <c r="J10" s="45"/>
    </row>
    <row r="11" spans="2:10" ht="18" customHeight="1" x14ac:dyDescent="0.35">
      <c r="B11" s="53" t="str">
        <f>'⚙️ Setup'!B19</f>
        <v>1009</v>
      </c>
      <c r="C11" s="53" t="str">
        <f>'⚙️ Setup'!C19</f>
        <v>Tier 3 Helpdesk</v>
      </c>
      <c r="D11" s="53" t="str">
        <f>'⚙️ Setup'!D19</f>
        <v>FFP</v>
      </c>
      <c r="E11" s="68"/>
      <c r="F11" s="68">
        <v>0</v>
      </c>
      <c r="G11" s="69">
        <f t="shared" si="0"/>
        <v>0</v>
      </c>
      <c r="H11" s="68">
        <v>2868.35</v>
      </c>
      <c r="I11" s="69">
        <f t="shared" si="1"/>
        <v>-2868.35</v>
      </c>
      <c r="J11" s="45"/>
    </row>
    <row r="12" spans="2:10" ht="18" customHeight="1" x14ac:dyDescent="0.35">
      <c r="B12" s="59" t="str">
        <f>'⚙️ Setup'!B20</f>
        <v>1010</v>
      </c>
      <c r="C12" s="59" t="str">
        <f>'⚙️ Setup'!C20</f>
        <v>Training</v>
      </c>
      <c r="D12" s="59" t="str">
        <f>'⚙️ Setup'!D20</f>
        <v>FFP</v>
      </c>
      <c r="E12" s="68"/>
      <c r="F12" s="68">
        <v>0</v>
      </c>
      <c r="G12" s="70">
        <f t="shared" si="0"/>
        <v>0</v>
      </c>
      <c r="H12" s="68">
        <v>16920.53</v>
      </c>
      <c r="I12" s="70">
        <f t="shared" si="1"/>
        <v>-16920.53</v>
      </c>
      <c r="J12" s="45"/>
    </row>
    <row r="13" spans="2:10" ht="18" customHeight="1" x14ac:dyDescent="0.35">
      <c r="B13" s="53" t="str">
        <f>'⚙️ Setup'!B21</f>
        <v>1016</v>
      </c>
      <c r="C13" s="53" t="str">
        <f>'⚙️ Setup'!C21</f>
        <v>NTIA</v>
      </c>
      <c r="D13" s="53" t="str">
        <f>'⚙️ Setup'!D21</f>
        <v>FFP</v>
      </c>
      <c r="E13" s="68"/>
      <c r="F13" s="68">
        <v>0</v>
      </c>
      <c r="G13" s="69">
        <f t="shared" si="0"/>
        <v>0</v>
      </c>
      <c r="H13" s="68">
        <v>22802.92</v>
      </c>
      <c r="I13" s="69">
        <f t="shared" si="1"/>
        <v>-22802.92</v>
      </c>
      <c r="J13" s="45"/>
    </row>
    <row r="14" spans="2:10" ht="18" customHeight="1" x14ac:dyDescent="0.35">
      <c r="B14" s="59" t="str">
        <f>'⚙️ Setup'!B22</f>
        <v>1017</v>
      </c>
      <c r="C14" s="59" t="str">
        <f>'⚙️ Setup'!C22</f>
        <v>Other Direct Costs</v>
      </c>
      <c r="D14" s="59" t="str">
        <f>'⚙️ Setup'!D22</f>
        <v>COST</v>
      </c>
      <c r="E14" s="68"/>
      <c r="F14" s="68">
        <v>0</v>
      </c>
      <c r="G14" s="70">
        <f t="shared" si="0"/>
        <v>0</v>
      </c>
      <c r="H14" s="68">
        <v>7000</v>
      </c>
      <c r="I14" s="70">
        <f t="shared" si="1"/>
        <v>-7000</v>
      </c>
      <c r="J14" s="45"/>
    </row>
    <row r="15" spans="2:10" ht="19.5" customHeight="1" x14ac:dyDescent="0.35">
      <c r="B15" s="53" t="str">
        <f>'⚙️ Setup'!B23</f>
        <v>1018</v>
      </c>
      <c r="C15" s="53" t="str">
        <f>'⚙️ Setup'!C23</f>
        <v>Travel</v>
      </c>
      <c r="D15" s="53" t="str">
        <f>'⚙️ Setup'!D23</f>
        <v>COST</v>
      </c>
      <c r="E15" s="68"/>
      <c r="F15" s="68">
        <v>0</v>
      </c>
      <c r="G15" s="69">
        <f t="shared" si="0"/>
        <v>0</v>
      </c>
      <c r="H15" s="68">
        <v>0</v>
      </c>
      <c r="I15" s="69">
        <f t="shared" si="1"/>
        <v>0</v>
      </c>
      <c r="J15" s="45"/>
    </row>
    <row r="16" spans="2:10" ht="15" customHeight="1" x14ac:dyDescent="0.35">
      <c r="B16" s="48" t="s">
        <v>66</v>
      </c>
      <c r="C16" s="72"/>
      <c r="D16" s="72"/>
      <c r="E16" s="73">
        <f>SUM(E7:E15)</f>
        <v>0</v>
      </c>
      <c r="F16" s="73">
        <f>SUM(F7:F15)</f>
        <v>0</v>
      </c>
      <c r="G16" s="73">
        <f>SUM(G7:G15)</f>
        <v>0</v>
      </c>
      <c r="H16" s="73">
        <f>SUM(H7:H15)</f>
        <v>249572.70199999999</v>
      </c>
      <c r="I16" s="73">
        <f>SUM(I7:I15)</f>
        <v>-249572.70199999999</v>
      </c>
      <c r="J16" s="72"/>
    </row>
  </sheetData>
  <mergeCells count="3">
    <mergeCell ref="B2:J2"/>
    <mergeCell ref="B3:J3"/>
    <mergeCell ref="B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DC3E6"/>
  </sheetPr>
  <dimension ref="B2:J16"/>
  <sheetViews>
    <sheetView showGridLines="0" zoomScaleNormal="100" workbookViewId="0">
      <selection activeCell="C38" sqref="C38"/>
    </sheetView>
  </sheetViews>
  <sheetFormatPr defaultColWidth="8.6328125" defaultRowHeight="14.5" x14ac:dyDescent="0.35"/>
  <cols>
    <col min="1" max="1" width="3" customWidth="1"/>
    <col min="2" max="2" width="10" customWidth="1"/>
    <col min="3" max="3" width="32" customWidth="1"/>
    <col min="4" max="4" width="12" customWidth="1"/>
    <col min="5" max="9" width="16" customWidth="1"/>
    <col min="10" max="10" width="20" customWidth="1"/>
  </cols>
  <sheetData>
    <row r="2" spans="2:10" ht="31.5" customHeight="1" x14ac:dyDescent="0.35">
      <c r="B2" s="186" t="s">
        <v>188</v>
      </c>
      <c r="C2" s="123"/>
      <c r="D2" s="123"/>
      <c r="E2" s="123"/>
      <c r="F2" s="123"/>
      <c r="G2" s="123"/>
      <c r="H2" s="123"/>
      <c r="I2" s="123"/>
      <c r="J2" s="123"/>
    </row>
    <row r="3" spans="2:10" ht="15.75" customHeight="1" x14ac:dyDescent="0.35">
      <c r="B3" s="188" t="s">
        <v>170</v>
      </c>
      <c r="C3" s="123"/>
      <c r="D3" s="123"/>
      <c r="E3" s="123"/>
      <c r="F3" s="123"/>
      <c r="G3" s="123"/>
      <c r="H3" s="123"/>
      <c r="I3" s="123"/>
      <c r="J3" s="123"/>
    </row>
    <row r="4" spans="2:10" ht="19.5" customHeight="1" x14ac:dyDescent="0.35">
      <c r="B4" s="192" t="s">
        <v>171</v>
      </c>
      <c r="C4" s="123"/>
      <c r="D4" s="123"/>
      <c r="E4" s="123"/>
      <c r="F4" s="123"/>
      <c r="G4" s="123"/>
      <c r="H4" s="123"/>
      <c r="I4" s="123"/>
      <c r="J4" s="123"/>
    </row>
    <row r="5" spans="2:10" ht="21.75" customHeight="1" x14ac:dyDescent="0.35"/>
    <row r="6" spans="2:10" ht="18" customHeight="1" x14ac:dyDescent="0.35">
      <c r="B6" s="41" t="s">
        <v>38</v>
      </c>
      <c r="C6" s="41" t="s">
        <v>39</v>
      </c>
      <c r="D6" s="41" t="s">
        <v>40</v>
      </c>
      <c r="E6" s="41" t="s">
        <v>172</v>
      </c>
      <c r="F6" s="41" t="s">
        <v>173</v>
      </c>
      <c r="G6" s="41" t="s">
        <v>174</v>
      </c>
      <c r="H6" s="41" t="s">
        <v>175</v>
      </c>
      <c r="I6" s="41" t="s">
        <v>176</v>
      </c>
      <c r="J6" s="41" t="s">
        <v>44</v>
      </c>
    </row>
    <row r="7" spans="2:10" ht="18" customHeight="1" x14ac:dyDescent="0.35">
      <c r="B7" s="53" t="str">
        <f>'⚙️ Setup'!B15</f>
        <v>1005</v>
      </c>
      <c r="C7" s="53" t="str">
        <f>'⚙️ Setup'!C15</f>
        <v>Project Management</v>
      </c>
      <c r="D7" s="53" t="str">
        <f>'⚙️ Setup'!D15</f>
        <v>FFP</v>
      </c>
      <c r="E7" s="68"/>
      <c r="F7" s="68">
        <v>0</v>
      </c>
      <c r="G7" s="69">
        <f t="shared" ref="G7:G15" si="0">IFERROR(E7,0)+IFERROR(F7,0)</f>
        <v>0</v>
      </c>
      <c r="H7" s="68">
        <v>48798.69</v>
      </c>
      <c r="I7" s="69">
        <f t="shared" ref="I7:I15" si="1">G7-H7</f>
        <v>-48798.69</v>
      </c>
      <c r="J7" s="45"/>
    </row>
    <row r="8" spans="2:10" ht="18" customHeight="1" x14ac:dyDescent="0.35">
      <c r="B8" s="59" t="str">
        <f>'⚙️ Setup'!B16</f>
        <v>1006</v>
      </c>
      <c r="C8" s="59" t="str">
        <f>'⚙️ Setup'!C16</f>
        <v>Software Maintenance</v>
      </c>
      <c r="D8" s="59" t="str">
        <f>'⚙️ Setup'!D16</f>
        <v>CPFF</v>
      </c>
      <c r="E8" s="68"/>
      <c r="F8" s="68">
        <v>0</v>
      </c>
      <c r="G8" s="70">
        <f t="shared" si="0"/>
        <v>0</v>
      </c>
      <c r="H8" s="71">
        <f>'💼 Labor Forecast'!AA17</f>
        <v>68829.415200000003</v>
      </c>
      <c r="I8" s="70">
        <f t="shared" si="1"/>
        <v>-68829.415200000003</v>
      </c>
      <c r="J8" s="45"/>
    </row>
    <row r="9" spans="2:10" ht="18" customHeight="1" x14ac:dyDescent="0.35">
      <c r="B9" s="53" t="str">
        <f>'⚙️ Setup'!B17</f>
        <v>1007</v>
      </c>
      <c r="C9" s="53" t="str">
        <f>'⚙️ Setup'!C17</f>
        <v>Software Development</v>
      </c>
      <c r="D9" s="53" t="str">
        <f>'⚙️ Setup'!D17</f>
        <v>CPFF</v>
      </c>
      <c r="E9" s="68"/>
      <c r="F9" s="68">
        <v>0</v>
      </c>
      <c r="G9" s="69">
        <f t="shared" si="0"/>
        <v>0</v>
      </c>
      <c r="H9" s="71">
        <f>'💼 Labor Forecast'!AA30</f>
        <v>68829.415200000003</v>
      </c>
      <c r="I9" s="69">
        <f t="shared" si="1"/>
        <v>-68829.415200000003</v>
      </c>
      <c r="J9" s="45"/>
    </row>
    <row r="10" spans="2:10" ht="18" customHeight="1" x14ac:dyDescent="0.35">
      <c r="B10" s="59" t="str">
        <f>'⚙️ Setup'!B18</f>
        <v>1008</v>
      </c>
      <c r="C10" s="59" t="str">
        <f>'⚙️ Setup'!C18</f>
        <v>O&amp;M</v>
      </c>
      <c r="D10" s="59" t="str">
        <f>'⚙️ Setup'!D18</f>
        <v>CPFF</v>
      </c>
      <c r="E10" s="68"/>
      <c r="F10" s="68">
        <v>0</v>
      </c>
      <c r="G10" s="70">
        <f t="shared" si="0"/>
        <v>0</v>
      </c>
      <c r="H10" s="71">
        <f>'💼 Labor Forecast'!AA38</f>
        <v>24370.156800000004</v>
      </c>
      <c r="I10" s="70">
        <f t="shared" si="1"/>
        <v>-24370.156800000004</v>
      </c>
      <c r="J10" s="45"/>
    </row>
    <row r="11" spans="2:10" ht="18" customHeight="1" x14ac:dyDescent="0.35">
      <c r="B11" s="53" t="str">
        <f>'⚙️ Setup'!B19</f>
        <v>1009</v>
      </c>
      <c r="C11" s="53" t="str">
        <f>'⚙️ Setup'!C19</f>
        <v>Tier 3 Helpdesk</v>
      </c>
      <c r="D11" s="53" t="str">
        <f>'⚙️ Setup'!D19</f>
        <v>FFP</v>
      </c>
      <c r="E11" s="68"/>
      <c r="F11" s="68">
        <v>0</v>
      </c>
      <c r="G11" s="69">
        <f t="shared" si="0"/>
        <v>0</v>
      </c>
      <c r="H11" s="68">
        <v>2775.82</v>
      </c>
      <c r="I11" s="69">
        <f t="shared" si="1"/>
        <v>-2775.82</v>
      </c>
      <c r="J11" s="45"/>
    </row>
    <row r="12" spans="2:10" ht="18" customHeight="1" x14ac:dyDescent="0.35">
      <c r="B12" s="59" t="str">
        <f>'⚙️ Setup'!B20</f>
        <v>1010</v>
      </c>
      <c r="C12" s="59" t="str">
        <f>'⚙️ Setup'!C20</f>
        <v>Training</v>
      </c>
      <c r="D12" s="59" t="str">
        <f>'⚙️ Setup'!D20</f>
        <v>FFP</v>
      </c>
      <c r="E12" s="68"/>
      <c r="F12" s="68">
        <v>0</v>
      </c>
      <c r="G12" s="70">
        <f t="shared" si="0"/>
        <v>0</v>
      </c>
      <c r="H12" s="68">
        <v>16374.71</v>
      </c>
      <c r="I12" s="70">
        <f t="shared" si="1"/>
        <v>-16374.71</v>
      </c>
      <c r="J12" s="45"/>
    </row>
    <row r="13" spans="2:10" ht="18" customHeight="1" x14ac:dyDescent="0.35">
      <c r="B13" s="53" t="str">
        <f>'⚙️ Setup'!B21</f>
        <v>1016</v>
      </c>
      <c r="C13" s="53" t="str">
        <f>'⚙️ Setup'!C21</f>
        <v>NTIA</v>
      </c>
      <c r="D13" s="53" t="str">
        <f>'⚙️ Setup'!D21</f>
        <v>FFP</v>
      </c>
      <c r="E13" s="68"/>
      <c r="F13" s="68">
        <v>0</v>
      </c>
      <c r="G13" s="69">
        <f t="shared" si="0"/>
        <v>0</v>
      </c>
      <c r="H13" s="68">
        <v>22067.34</v>
      </c>
      <c r="I13" s="69">
        <f t="shared" si="1"/>
        <v>-22067.34</v>
      </c>
      <c r="J13" s="45"/>
    </row>
    <row r="14" spans="2:10" ht="18" customHeight="1" x14ac:dyDescent="0.35">
      <c r="B14" s="59" t="str">
        <f>'⚙️ Setup'!B22</f>
        <v>1017</v>
      </c>
      <c r="C14" s="59" t="str">
        <f>'⚙️ Setup'!C22</f>
        <v>Other Direct Costs</v>
      </c>
      <c r="D14" s="59" t="str">
        <f>'⚙️ Setup'!D22</f>
        <v>COST</v>
      </c>
      <c r="E14" s="68"/>
      <c r="F14" s="68">
        <v>0</v>
      </c>
      <c r="G14" s="70">
        <f t="shared" si="0"/>
        <v>0</v>
      </c>
      <c r="H14" s="68">
        <v>7000</v>
      </c>
      <c r="I14" s="70">
        <f t="shared" si="1"/>
        <v>-7000</v>
      </c>
      <c r="J14" s="45"/>
    </row>
    <row r="15" spans="2:10" ht="19.5" customHeight="1" x14ac:dyDescent="0.35">
      <c r="B15" s="53" t="str">
        <f>'⚙️ Setup'!B23</f>
        <v>1018</v>
      </c>
      <c r="C15" s="53" t="str">
        <f>'⚙️ Setup'!C23</f>
        <v>Travel</v>
      </c>
      <c r="D15" s="53" t="str">
        <f>'⚙️ Setup'!D23</f>
        <v>COST</v>
      </c>
      <c r="E15" s="68"/>
      <c r="F15" s="68">
        <v>0</v>
      </c>
      <c r="G15" s="69">
        <f t="shared" si="0"/>
        <v>0</v>
      </c>
      <c r="H15" s="68">
        <v>0</v>
      </c>
      <c r="I15" s="69">
        <f t="shared" si="1"/>
        <v>0</v>
      </c>
      <c r="J15" s="45"/>
    </row>
    <row r="16" spans="2:10" ht="15" customHeight="1" x14ac:dyDescent="0.35">
      <c r="B16" s="48" t="s">
        <v>66</v>
      </c>
      <c r="C16" s="72"/>
      <c r="D16" s="72"/>
      <c r="E16" s="73">
        <f>SUM(E7:E15)</f>
        <v>0</v>
      </c>
      <c r="F16" s="73">
        <f>SUM(F7:F15)</f>
        <v>0</v>
      </c>
      <c r="G16" s="73">
        <f>SUM(G7:G15)</f>
        <v>0</v>
      </c>
      <c r="H16" s="73">
        <f>SUM(H7:H15)</f>
        <v>259045.5472</v>
      </c>
      <c r="I16" s="73">
        <f>SUM(I7:I15)</f>
        <v>-259045.5472</v>
      </c>
      <c r="J16" s="72"/>
    </row>
  </sheetData>
  <mergeCells count="3">
    <mergeCell ref="B2:J2"/>
    <mergeCell ref="B3:J3"/>
    <mergeCell ref="B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DC3E6"/>
  </sheetPr>
  <dimension ref="B2:J16"/>
  <sheetViews>
    <sheetView showGridLines="0" zoomScaleNormal="100" workbookViewId="0">
      <selection activeCell="C38" sqref="C38"/>
    </sheetView>
  </sheetViews>
  <sheetFormatPr defaultColWidth="8.6328125" defaultRowHeight="14.5" x14ac:dyDescent="0.35"/>
  <cols>
    <col min="1" max="1" width="3" customWidth="1"/>
    <col min="2" max="2" width="10" customWidth="1"/>
    <col min="3" max="3" width="32" customWidth="1"/>
    <col min="4" max="4" width="12" customWidth="1"/>
    <col min="5" max="9" width="16" customWidth="1"/>
    <col min="10" max="10" width="20" customWidth="1"/>
  </cols>
  <sheetData>
    <row r="2" spans="2:10" ht="31.5" customHeight="1" x14ac:dyDescent="0.35">
      <c r="B2" s="186" t="s">
        <v>189</v>
      </c>
      <c r="C2" s="123"/>
      <c r="D2" s="123"/>
      <c r="E2" s="123"/>
      <c r="F2" s="123"/>
      <c r="G2" s="123"/>
      <c r="H2" s="123"/>
      <c r="I2" s="123"/>
      <c r="J2" s="123"/>
    </row>
    <row r="3" spans="2:10" ht="15.75" customHeight="1" x14ac:dyDescent="0.35">
      <c r="B3" s="188" t="s">
        <v>170</v>
      </c>
      <c r="C3" s="123"/>
      <c r="D3" s="123"/>
      <c r="E3" s="123"/>
      <c r="F3" s="123"/>
      <c r="G3" s="123"/>
      <c r="H3" s="123"/>
      <c r="I3" s="123"/>
      <c r="J3" s="123"/>
    </row>
    <row r="4" spans="2:10" ht="19.5" customHeight="1" x14ac:dyDescent="0.35">
      <c r="B4" s="192" t="s">
        <v>171</v>
      </c>
      <c r="C4" s="123"/>
      <c r="D4" s="123"/>
      <c r="E4" s="123"/>
      <c r="F4" s="123"/>
      <c r="G4" s="123"/>
      <c r="H4" s="123"/>
      <c r="I4" s="123"/>
      <c r="J4" s="123"/>
    </row>
    <row r="5" spans="2:10" ht="21.75" customHeight="1" x14ac:dyDescent="0.35"/>
    <row r="6" spans="2:10" ht="18" customHeight="1" x14ac:dyDescent="0.35">
      <c r="B6" s="41" t="s">
        <v>38</v>
      </c>
      <c r="C6" s="41" t="s">
        <v>39</v>
      </c>
      <c r="D6" s="41" t="s">
        <v>40</v>
      </c>
      <c r="E6" s="41" t="s">
        <v>172</v>
      </c>
      <c r="F6" s="41" t="s">
        <v>173</v>
      </c>
      <c r="G6" s="41" t="s">
        <v>174</v>
      </c>
      <c r="H6" s="41" t="s">
        <v>175</v>
      </c>
      <c r="I6" s="41" t="s">
        <v>176</v>
      </c>
      <c r="J6" s="41" t="s">
        <v>44</v>
      </c>
    </row>
    <row r="7" spans="2:10" ht="18" customHeight="1" x14ac:dyDescent="0.35">
      <c r="B7" s="53" t="str">
        <f>'⚙️ Setup'!B15</f>
        <v>1005</v>
      </c>
      <c r="C7" s="53" t="str">
        <f>'⚙️ Setup'!C15</f>
        <v>Project Management</v>
      </c>
      <c r="D7" s="53" t="str">
        <f>'⚙️ Setup'!D15</f>
        <v>FFP</v>
      </c>
      <c r="E7" s="68"/>
      <c r="F7" s="68">
        <v>0</v>
      </c>
      <c r="G7" s="69">
        <f t="shared" ref="G7:G15" si="0">IFERROR(E7,0)+IFERROR(F7,0)</f>
        <v>0</v>
      </c>
      <c r="H7" s="68">
        <v>50425.31</v>
      </c>
      <c r="I7" s="69">
        <f t="shared" ref="I7:I15" si="1">G7-H7</f>
        <v>-50425.31</v>
      </c>
      <c r="J7" s="45"/>
    </row>
    <row r="8" spans="2:10" ht="18" customHeight="1" x14ac:dyDescent="0.35">
      <c r="B8" s="59" t="str">
        <f>'⚙️ Setup'!B16</f>
        <v>1006</v>
      </c>
      <c r="C8" s="59" t="str">
        <f>'⚙️ Setup'!C16</f>
        <v>Software Maintenance</v>
      </c>
      <c r="D8" s="59" t="str">
        <f>'⚙️ Setup'!D16</f>
        <v>CPFF</v>
      </c>
      <c r="E8" s="68"/>
      <c r="F8" s="68">
        <v>0</v>
      </c>
      <c r="G8" s="70">
        <f t="shared" si="0"/>
        <v>0</v>
      </c>
      <c r="H8" s="71">
        <f>'💼 Labor Forecast'!AC17</f>
        <v>63700.452000000005</v>
      </c>
      <c r="I8" s="70">
        <f t="shared" si="1"/>
        <v>-63700.452000000005</v>
      </c>
      <c r="J8" s="45"/>
    </row>
    <row r="9" spans="2:10" ht="18" customHeight="1" x14ac:dyDescent="0.35">
      <c r="B9" s="53" t="str">
        <f>'⚙️ Setup'!B17</f>
        <v>1007</v>
      </c>
      <c r="C9" s="53" t="str">
        <f>'⚙️ Setup'!C17</f>
        <v>Software Development</v>
      </c>
      <c r="D9" s="53" t="str">
        <f>'⚙️ Setup'!D17</f>
        <v>CPFF</v>
      </c>
      <c r="E9" s="68"/>
      <c r="F9" s="68">
        <v>0</v>
      </c>
      <c r="G9" s="69">
        <f t="shared" si="0"/>
        <v>0</v>
      </c>
      <c r="H9" s="71">
        <f>'💼 Labor Forecast'!AC30</f>
        <v>63700.452000000005</v>
      </c>
      <c r="I9" s="69">
        <f t="shared" si="1"/>
        <v>-63700.452000000005</v>
      </c>
      <c r="J9" s="45"/>
    </row>
    <row r="10" spans="2:10" ht="18" customHeight="1" x14ac:dyDescent="0.35">
      <c r="B10" s="59" t="str">
        <f>'⚙️ Setup'!B18</f>
        <v>1008</v>
      </c>
      <c r="C10" s="59" t="str">
        <f>'⚙️ Setup'!C18</f>
        <v>O&amp;M</v>
      </c>
      <c r="D10" s="59" t="str">
        <f>'⚙️ Setup'!D18</f>
        <v>CPFF</v>
      </c>
      <c r="E10" s="68"/>
      <c r="F10" s="68">
        <v>0</v>
      </c>
      <c r="G10" s="70">
        <f t="shared" si="0"/>
        <v>0</v>
      </c>
      <c r="H10" s="71">
        <f>'💼 Labor Forecast'!AC38</f>
        <v>22154.688000000006</v>
      </c>
      <c r="I10" s="70">
        <f t="shared" si="1"/>
        <v>-22154.688000000006</v>
      </c>
      <c r="J10" s="45"/>
    </row>
    <row r="11" spans="2:10" ht="18" customHeight="1" x14ac:dyDescent="0.35">
      <c r="B11" s="53" t="str">
        <f>'⚙️ Setup'!B19</f>
        <v>1009</v>
      </c>
      <c r="C11" s="53" t="str">
        <f>'⚙️ Setup'!C19</f>
        <v>Tier 3 Helpdesk</v>
      </c>
      <c r="D11" s="53" t="str">
        <f>'⚙️ Setup'!D19</f>
        <v>FFP</v>
      </c>
      <c r="E11" s="68"/>
      <c r="F11" s="68">
        <v>0</v>
      </c>
      <c r="G11" s="69">
        <f t="shared" si="0"/>
        <v>0</v>
      </c>
      <c r="H11" s="68">
        <v>2868.35</v>
      </c>
      <c r="I11" s="69">
        <f t="shared" si="1"/>
        <v>-2868.35</v>
      </c>
      <c r="J11" s="45"/>
    </row>
    <row r="12" spans="2:10" ht="18" customHeight="1" x14ac:dyDescent="0.35">
      <c r="B12" s="59" t="str">
        <f>'⚙️ Setup'!B20</f>
        <v>1010</v>
      </c>
      <c r="C12" s="59" t="str">
        <f>'⚙️ Setup'!C20</f>
        <v>Training</v>
      </c>
      <c r="D12" s="59" t="str">
        <f>'⚙️ Setup'!D20</f>
        <v>FFP</v>
      </c>
      <c r="E12" s="68"/>
      <c r="F12" s="68">
        <v>0</v>
      </c>
      <c r="G12" s="70">
        <f t="shared" si="0"/>
        <v>0</v>
      </c>
      <c r="H12" s="68">
        <v>16920.53</v>
      </c>
      <c r="I12" s="70">
        <f t="shared" si="1"/>
        <v>-16920.53</v>
      </c>
      <c r="J12" s="45"/>
    </row>
    <row r="13" spans="2:10" ht="18" customHeight="1" x14ac:dyDescent="0.35">
      <c r="B13" s="53" t="str">
        <f>'⚙️ Setup'!B21</f>
        <v>1016</v>
      </c>
      <c r="C13" s="53" t="str">
        <f>'⚙️ Setup'!C21</f>
        <v>NTIA</v>
      </c>
      <c r="D13" s="53" t="str">
        <f>'⚙️ Setup'!D21</f>
        <v>FFP</v>
      </c>
      <c r="E13" s="68"/>
      <c r="F13" s="68">
        <v>0</v>
      </c>
      <c r="G13" s="69">
        <f t="shared" si="0"/>
        <v>0</v>
      </c>
      <c r="H13" s="68">
        <v>22802.92</v>
      </c>
      <c r="I13" s="69">
        <f t="shared" si="1"/>
        <v>-22802.92</v>
      </c>
      <c r="J13" s="45"/>
    </row>
    <row r="14" spans="2:10" ht="18" customHeight="1" x14ac:dyDescent="0.35">
      <c r="B14" s="59" t="str">
        <f>'⚙️ Setup'!B22</f>
        <v>1017</v>
      </c>
      <c r="C14" s="59" t="str">
        <f>'⚙️ Setup'!C22</f>
        <v>Other Direct Costs</v>
      </c>
      <c r="D14" s="59" t="str">
        <f>'⚙️ Setup'!D22</f>
        <v>COST</v>
      </c>
      <c r="E14" s="68"/>
      <c r="F14" s="68">
        <v>0</v>
      </c>
      <c r="G14" s="70">
        <f t="shared" si="0"/>
        <v>0</v>
      </c>
      <c r="H14" s="68">
        <v>7000</v>
      </c>
      <c r="I14" s="70">
        <f t="shared" si="1"/>
        <v>-7000</v>
      </c>
      <c r="J14" s="45"/>
    </row>
    <row r="15" spans="2:10" ht="19.5" customHeight="1" x14ac:dyDescent="0.35">
      <c r="B15" s="53" t="str">
        <f>'⚙️ Setup'!B23</f>
        <v>1018</v>
      </c>
      <c r="C15" s="53" t="str">
        <f>'⚙️ Setup'!C23</f>
        <v>Travel</v>
      </c>
      <c r="D15" s="53" t="str">
        <f>'⚙️ Setup'!D23</f>
        <v>COST</v>
      </c>
      <c r="E15" s="68"/>
      <c r="F15" s="68">
        <v>0</v>
      </c>
      <c r="G15" s="69">
        <f t="shared" si="0"/>
        <v>0</v>
      </c>
      <c r="H15" s="68">
        <v>0</v>
      </c>
      <c r="I15" s="69">
        <f t="shared" si="1"/>
        <v>0</v>
      </c>
      <c r="J15" s="45"/>
    </row>
    <row r="16" spans="2:10" ht="15" customHeight="1" x14ac:dyDescent="0.35">
      <c r="B16" s="48" t="s">
        <v>66</v>
      </c>
      <c r="C16" s="72"/>
      <c r="D16" s="72"/>
      <c r="E16" s="73">
        <f>SUM(E7:E15)</f>
        <v>0</v>
      </c>
      <c r="F16" s="73">
        <f>SUM(F7:F15)</f>
        <v>0</v>
      </c>
      <c r="G16" s="73">
        <f>SUM(G7:G15)</f>
        <v>0</v>
      </c>
      <c r="H16" s="73">
        <f>SUM(H7:H15)</f>
        <v>249572.70199999999</v>
      </c>
      <c r="I16" s="73">
        <f>SUM(I7:I15)</f>
        <v>-249572.70199999999</v>
      </c>
      <c r="J16" s="72"/>
    </row>
  </sheetData>
  <mergeCells count="3">
    <mergeCell ref="B2:J2"/>
    <mergeCell ref="B3:J3"/>
    <mergeCell ref="B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DC3E6"/>
  </sheetPr>
  <dimension ref="B2:J16"/>
  <sheetViews>
    <sheetView showGridLines="0" topLeftCell="B2" zoomScaleNormal="100" workbookViewId="0">
      <selection activeCell="C38" sqref="C38"/>
    </sheetView>
  </sheetViews>
  <sheetFormatPr defaultColWidth="8.6328125" defaultRowHeight="14.5" x14ac:dyDescent="0.35"/>
  <cols>
    <col min="1" max="1" width="3" customWidth="1"/>
    <col min="2" max="2" width="10" customWidth="1"/>
    <col min="3" max="3" width="32" customWidth="1"/>
    <col min="4" max="4" width="12" customWidth="1"/>
    <col min="5" max="9" width="16" customWidth="1"/>
    <col min="10" max="10" width="20" customWidth="1"/>
  </cols>
  <sheetData>
    <row r="2" spans="2:10" ht="31.5" customHeight="1" x14ac:dyDescent="0.35">
      <c r="B2" s="186" t="s">
        <v>190</v>
      </c>
      <c r="C2" s="123"/>
      <c r="D2" s="123"/>
      <c r="E2" s="123"/>
      <c r="F2" s="123"/>
      <c r="G2" s="123"/>
      <c r="H2" s="123"/>
      <c r="I2" s="123"/>
      <c r="J2" s="123"/>
    </row>
    <row r="3" spans="2:10" ht="15.75" customHeight="1" x14ac:dyDescent="0.35">
      <c r="B3" s="188" t="s">
        <v>170</v>
      </c>
      <c r="C3" s="123"/>
      <c r="D3" s="123"/>
      <c r="E3" s="123"/>
      <c r="F3" s="123"/>
      <c r="G3" s="123"/>
      <c r="H3" s="123"/>
      <c r="I3" s="123"/>
      <c r="J3" s="123"/>
    </row>
    <row r="4" spans="2:10" ht="19.5" customHeight="1" x14ac:dyDescent="0.35">
      <c r="B4" s="192" t="s">
        <v>171</v>
      </c>
      <c r="C4" s="123"/>
      <c r="D4" s="123"/>
      <c r="E4" s="123"/>
      <c r="F4" s="123"/>
      <c r="G4" s="123"/>
      <c r="H4" s="123"/>
      <c r="I4" s="123"/>
      <c r="J4" s="123"/>
    </row>
    <row r="5" spans="2:10" ht="21.75" customHeight="1" x14ac:dyDescent="0.35"/>
    <row r="6" spans="2:10" ht="18" customHeight="1" x14ac:dyDescent="0.35">
      <c r="B6" s="41" t="s">
        <v>38</v>
      </c>
      <c r="C6" s="41" t="s">
        <v>39</v>
      </c>
      <c r="D6" s="41" t="s">
        <v>40</v>
      </c>
      <c r="E6" s="41" t="s">
        <v>172</v>
      </c>
      <c r="F6" s="41" t="s">
        <v>173</v>
      </c>
      <c r="G6" s="41" t="s">
        <v>174</v>
      </c>
      <c r="H6" s="41" t="s">
        <v>175</v>
      </c>
      <c r="I6" s="41" t="s">
        <v>176</v>
      </c>
      <c r="J6" s="41" t="s">
        <v>44</v>
      </c>
    </row>
    <row r="7" spans="2:10" ht="18" customHeight="1" x14ac:dyDescent="0.35">
      <c r="B7" s="53" t="str">
        <f>'⚙️ Setup'!B15</f>
        <v>1005</v>
      </c>
      <c r="C7" s="53" t="str">
        <f>'⚙️ Setup'!C15</f>
        <v>Project Management</v>
      </c>
      <c r="D7" s="53" t="str">
        <f>'⚙️ Setup'!D15</f>
        <v>FFP</v>
      </c>
      <c r="E7" s="68"/>
      <c r="F7" s="68">
        <v>0</v>
      </c>
      <c r="G7" s="69">
        <f t="shared" ref="G7:G15" si="0">IFERROR(E7,0)+IFERROR(F7,0)</f>
        <v>0</v>
      </c>
      <c r="H7" s="68">
        <v>50425.3</v>
      </c>
      <c r="I7" s="69">
        <f t="shared" ref="I7:I15" si="1">G7-H7</f>
        <v>-50425.3</v>
      </c>
      <c r="J7" s="45"/>
    </row>
    <row r="8" spans="2:10" ht="18" customHeight="1" x14ac:dyDescent="0.35">
      <c r="B8" s="59" t="str">
        <f>'⚙️ Setup'!B16</f>
        <v>1006</v>
      </c>
      <c r="C8" s="59" t="str">
        <f>'⚙️ Setup'!C16</f>
        <v>Software Maintenance</v>
      </c>
      <c r="D8" s="59" t="str">
        <f>'⚙️ Setup'!D16</f>
        <v>CPFF</v>
      </c>
      <c r="E8" s="68"/>
      <c r="F8" s="68">
        <v>0</v>
      </c>
      <c r="G8" s="70">
        <f t="shared" si="0"/>
        <v>0</v>
      </c>
      <c r="H8" s="71">
        <f>'💼 Labor Forecast'!AE17</f>
        <v>55316.887200000005</v>
      </c>
      <c r="I8" s="70">
        <f t="shared" si="1"/>
        <v>-55316.887200000005</v>
      </c>
      <c r="J8" s="45"/>
    </row>
    <row r="9" spans="2:10" ht="18" customHeight="1" x14ac:dyDescent="0.35">
      <c r="B9" s="53" t="str">
        <f>'⚙️ Setup'!B17</f>
        <v>1007</v>
      </c>
      <c r="C9" s="53" t="str">
        <f>'⚙️ Setup'!C17</f>
        <v>Software Development</v>
      </c>
      <c r="D9" s="53" t="str">
        <f>'⚙️ Setup'!D17</f>
        <v>CPFF</v>
      </c>
      <c r="E9" s="68"/>
      <c r="F9" s="68">
        <v>0</v>
      </c>
      <c r="G9" s="69">
        <f t="shared" si="0"/>
        <v>0</v>
      </c>
      <c r="H9" s="71">
        <f>'💼 Labor Forecast'!AE30</f>
        <v>55316.887200000005</v>
      </c>
      <c r="I9" s="69">
        <f t="shared" si="1"/>
        <v>-55316.887200000005</v>
      </c>
      <c r="J9" s="45"/>
    </row>
    <row r="10" spans="2:10" ht="18" customHeight="1" x14ac:dyDescent="0.35">
      <c r="B10" s="59" t="str">
        <f>'⚙️ Setup'!B18</f>
        <v>1008</v>
      </c>
      <c r="C10" s="59" t="str">
        <f>'⚙️ Setup'!C18</f>
        <v>O&amp;M</v>
      </c>
      <c r="D10" s="59" t="str">
        <f>'⚙️ Setup'!D18</f>
        <v>CPFF</v>
      </c>
      <c r="E10" s="68"/>
      <c r="F10" s="68">
        <v>0</v>
      </c>
      <c r="G10" s="70">
        <f t="shared" si="0"/>
        <v>0</v>
      </c>
      <c r="H10" s="71">
        <f>'💼 Labor Forecast'!AE38</f>
        <v>18831.484800000002</v>
      </c>
      <c r="I10" s="70">
        <f t="shared" si="1"/>
        <v>-18831.484800000002</v>
      </c>
      <c r="J10" s="45"/>
    </row>
    <row r="11" spans="2:10" ht="18" customHeight="1" x14ac:dyDescent="0.35">
      <c r="B11" s="53" t="str">
        <f>'⚙️ Setup'!B19</f>
        <v>1009</v>
      </c>
      <c r="C11" s="53" t="str">
        <f>'⚙️ Setup'!C19</f>
        <v>Tier 3 Helpdesk</v>
      </c>
      <c r="D11" s="53" t="str">
        <f>'⚙️ Setup'!D19</f>
        <v>FFP</v>
      </c>
      <c r="E11" s="68"/>
      <c r="F11" s="68">
        <v>0</v>
      </c>
      <c r="G11" s="69">
        <f t="shared" si="0"/>
        <v>0</v>
      </c>
      <c r="H11" s="68">
        <v>2868.35</v>
      </c>
      <c r="I11" s="69">
        <f t="shared" si="1"/>
        <v>-2868.35</v>
      </c>
      <c r="J11" s="45"/>
    </row>
    <row r="12" spans="2:10" ht="18" customHeight="1" x14ac:dyDescent="0.35">
      <c r="B12" s="59" t="str">
        <f>'⚙️ Setup'!B20</f>
        <v>1010</v>
      </c>
      <c r="C12" s="59" t="str">
        <f>'⚙️ Setup'!C20</f>
        <v>Training</v>
      </c>
      <c r="D12" s="59" t="str">
        <f>'⚙️ Setup'!D20</f>
        <v>FFP</v>
      </c>
      <c r="E12" s="68"/>
      <c r="F12" s="68">
        <v>0</v>
      </c>
      <c r="G12" s="70">
        <f t="shared" si="0"/>
        <v>0</v>
      </c>
      <c r="H12" s="68">
        <v>16920.52</v>
      </c>
      <c r="I12" s="70">
        <f t="shared" si="1"/>
        <v>-16920.52</v>
      </c>
      <c r="J12" s="45"/>
    </row>
    <row r="13" spans="2:10" ht="18" customHeight="1" x14ac:dyDescent="0.35">
      <c r="B13" s="53" t="str">
        <f>'⚙️ Setup'!B21</f>
        <v>1016</v>
      </c>
      <c r="C13" s="53" t="str">
        <f>'⚙️ Setup'!C21</f>
        <v>NTIA</v>
      </c>
      <c r="D13" s="53" t="str">
        <f>'⚙️ Setup'!D21</f>
        <v>FFP</v>
      </c>
      <c r="E13" s="68"/>
      <c r="F13" s="68">
        <v>0</v>
      </c>
      <c r="G13" s="69">
        <f t="shared" si="0"/>
        <v>0</v>
      </c>
      <c r="H13" s="68">
        <v>22802.92</v>
      </c>
      <c r="I13" s="69">
        <f t="shared" si="1"/>
        <v>-22802.92</v>
      </c>
      <c r="J13" s="45"/>
    </row>
    <row r="14" spans="2:10" ht="18" customHeight="1" x14ac:dyDescent="0.35">
      <c r="B14" s="59" t="str">
        <f>'⚙️ Setup'!B22</f>
        <v>1017</v>
      </c>
      <c r="C14" s="59" t="str">
        <f>'⚙️ Setup'!C22</f>
        <v>Other Direct Costs</v>
      </c>
      <c r="D14" s="59" t="str">
        <f>'⚙️ Setup'!D22</f>
        <v>COST</v>
      </c>
      <c r="E14" s="68"/>
      <c r="F14" s="68">
        <v>0</v>
      </c>
      <c r="G14" s="70">
        <f t="shared" si="0"/>
        <v>0</v>
      </c>
      <c r="H14" s="68">
        <v>7000</v>
      </c>
      <c r="I14" s="70">
        <f t="shared" si="1"/>
        <v>-7000</v>
      </c>
      <c r="J14" s="45"/>
    </row>
    <row r="15" spans="2:10" ht="19.5" customHeight="1" x14ac:dyDescent="0.35">
      <c r="B15" s="53" t="str">
        <f>'⚙️ Setup'!B23</f>
        <v>1018</v>
      </c>
      <c r="C15" s="53" t="str">
        <f>'⚙️ Setup'!C23</f>
        <v>Travel</v>
      </c>
      <c r="D15" s="53" t="str">
        <f>'⚙️ Setup'!D23</f>
        <v>COST</v>
      </c>
      <c r="E15" s="68"/>
      <c r="F15" s="68">
        <v>0</v>
      </c>
      <c r="G15" s="69">
        <f t="shared" si="0"/>
        <v>0</v>
      </c>
      <c r="H15" s="68">
        <v>0</v>
      </c>
      <c r="I15" s="69">
        <f t="shared" si="1"/>
        <v>0</v>
      </c>
      <c r="J15" s="45"/>
    </row>
    <row r="16" spans="2:10" ht="15" customHeight="1" x14ac:dyDescent="0.35">
      <c r="B16" s="48" t="s">
        <v>66</v>
      </c>
      <c r="C16" s="72"/>
      <c r="D16" s="72"/>
      <c r="E16" s="73">
        <f>SUM(E7:E15)</f>
        <v>0</v>
      </c>
      <c r="F16" s="73">
        <f>SUM(F7:F15)</f>
        <v>0</v>
      </c>
      <c r="G16" s="73">
        <f>SUM(G7:G15)</f>
        <v>0</v>
      </c>
      <c r="H16" s="73">
        <f>SUM(H7:H15)</f>
        <v>229482.3492</v>
      </c>
      <c r="I16" s="73">
        <f>SUM(I7:I15)</f>
        <v>-229482.3492</v>
      </c>
      <c r="J16" s="72"/>
    </row>
  </sheetData>
  <mergeCells count="3">
    <mergeCell ref="B2:J2"/>
    <mergeCell ref="B3:J3"/>
    <mergeCell ref="B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B2:R35"/>
  <sheetViews>
    <sheetView showGridLines="0" topLeftCell="A2" zoomScale="60" zoomScaleNormal="60" workbookViewId="0">
      <selection activeCell="P13" sqref="P13"/>
    </sheetView>
  </sheetViews>
  <sheetFormatPr defaultColWidth="8.6328125" defaultRowHeight="14.5" x14ac:dyDescent="0.35"/>
  <cols>
    <col min="1" max="1" width="3" customWidth="1"/>
    <col min="2" max="2" width="12" customWidth="1"/>
    <col min="3" max="3" width="18.81640625" customWidth="1"/>
    <col min="4" max="4" width="12" customWidth="1"/>
    <col min="5" max="19" width="16" customWidth="1"/>
  </cols>
  <sheetData>
    <row r="2" spans="2:18" ht="31.5" customHeight="1" x14ac:dyDescent="0.35">
      <c r="B2" s="186" t="s">
        <v>191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</row>
    <row r="3" spans="2:18" ht="15.75" customHeight="1" x14ac:dyDescent="0.35">
      <c r="B3" s="188" t="s">
        <v>192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</row>
    <row r="5" spans="2:18" ht="18" customHeight="1" x14ac:dyDescent="0.35">
      <c r="B5" s="195" t="s">
        <v>193</v>
      </c>
      <c r="C5" s="194"/>
      <c r="D5" s="195" t="s">
        <v>194</v>
      </c>
      <c r="E5" s="194"/>
      <c r="F5" s="195" t="s">
        <v>195</v>
      </c>
      <c r="G5" s="194"/>
      <c r="H5" s="195" t="s">
        <v>196</v>
      </c>
      <c r="I5" s="194"/>
      <c r="J5" s="195" t="s">
        <v>197</v>
      </c>
      <c r="K5" s="194"/>
      <c r="L5" s="195" t="s">
        <v>198</v>
      </c>
      <c r="M5" s="194"/>
      <c r="N5" s="195" t="s">
        <v>199</v>
      </c>
      <c r="O5" s="194"/>
      <c r="P5" s="4" t="s">
        <v>200</v>
      </c>
      <c r="R5" s="5" t="s">
        <v>201</v>
      </c>
    </row>
    <row r="6" spans="2:18" ht="25.5" customHeight="1" x14ac:dyDescent="0.35">
      <c r="B6" s="193">
        <f>'⚙️ Setup'!E24</f>
        <v>3523254.67</v>
      </c>
      <c r="C6" s="194"/>
      <c r="D6" s="193">
        <f>'⚙️ Setup'!F24</f>
        <v>2670173.3200000003</v>
      </c>
      <c r="E6" s="194"/>
      <c r="F6" s="193">
        <f>'📅 Mar'!G16+'📅 Apr'!G16+'📅 May'!G16+'📅 Jun'!G16+'📅 Jul'!G16+'📅 Aug'!G16+'📅 Sep'!G16+'📅 Oct'!G16+'📅 Nov'!G16+'📅 Dec'!G16+'📅 Jan'!G16+'📅 Feb-E'!G16</f>
        <v>346488.56</v>
      </c>
      <c r="G6" s="194"/>
      <c r="H6" s="193">
        <f>'📅 Mar'!H16+'📅 Apr'!H16+'📅 May'!H16+'📅 Jun'!H16+'📅 Jul'!H16+'📅 Aug'!H16+'📅 Sep'!H16+'📅 Oct'!H16+'📅 Nov'!H16+'📅 Dec'!H16+'📅 Jan'!H16+'📅 Feb-E'!H16</f>
        <v>3674291.1204000004</v>
      </c>
      <c r="I6" s="194"/>
      <c r="J6" s="193">
        <f>'⚙️ Setup'!E24-('📅 Mar'!G16+'📅 Apr'!G16+'📅 May'!G16+'📅 Jun'!G16+'📅 Jul'!G16+'📅 Aug'!G16+'📅 Sep'!G16+'📅 Oct'!G16+'📅 Nov'!G16+'📅 Dec'!G16+'📅 Jan'!G16+'📅 Feb-E'!G16)</f>
        <v>3176766.11</v>
      </c>
      <c r="K6" s="194"/>
      <c r="L6" s="193">
        <f>'⚙️ Setup'!F24-('📅 Mar'!G16+'📅 Apr'!G16+'📅 May'!G16+'📅 Jun'!G16+'📅 Jul'!G16+'📅 Aug'!G16+'📅 Sep'!G16+'📅 Oct'!G16+'📅 Nov'!G16+'📅 Dec'!G16+'📅 Jan'!G16+'📅 Feb-E'!G16)</f>
        <v>2323684.7600000002</v>
      </c>
      <c r="M6" s="194"/>
      <c r="N6" s="196">
        <f>IFERROR(('📅 Mar'!G16+'📅 Apr'!G16+'📅 May'!G16+'📅 Jun'!G16+'📅 Jul'!G16+'📅 Aug'!G16+'📅 Sep'!G16+'📅 Oct'!G16+'📅 Nov'!G16+'📅 Dec'!G16+'📅 Jan'!G16+'📅 Feb-E'!G16)/IF('⚙️ Setup'!F24=0,1,'⚙️ Setup'!F24),0)</f>
        <v>0.12976257286549472</v>
      </c>
      <c r="O6" s="194"/>
      <c r="P6" s="6">
        <f>IFERROR('⚙️ Setup'!F24/IF('⚙️ Setup'!E24=0,1,'⚙️ Setup'!E24),0)</f>
        <v>0.75787122138406204</v>
      </c>
      <c r="R6" s="98">
        <f>IF('⚙️ Setup'!E24&gt;0,'⚙️ Setup'!E24-'⚙️ Setup'!F24,0)</f>
        <v>853081.34999999963</v>
      </c>
    </row>
    <row r="7" spans="2:18" x14ac:dyDescent="0.35">
      <c r="I7" s="8"/>
      <c r="J7">
        <f>J23/J6</f>
        <v>0</v>
      </c>
    </row>
    <row r="8" spans="2:18" ht="21.75" customHeight="1" x14ac:dyDescent="0.35">
      <c r="B8" s="197" t="s">
        <v>202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</row>
    <row r="9" spans="2:18" ht="24" customHeight="1" x14ac:dyDescent="0.35">
      <c r="B9" s="41" t="s">
        <v>203</v>
      </c>
      <c r="C9" s="41" t="s">
        <v>204</v>
      </c>
      <c r="D9" s="41" t="s">
        <v>205</v>
      </c>
      <c r="E9" s="41" t="s">
        <v>206</v>
      </c>
      <c r="F9" s="41" t="s">
        <v>207</v>
      </c>
      <c r="G9" s="41" t="s">
        <v>208</v>
      </c>
      <c r="H9" s="41" t="s">
        <v>209</v>
      </c>
      <c r="I9" s="41" t="s">
        <v>210</v>
      </c>
      <c r="J9" s="41" t="s">
        <v>211</v>
      </c>
      <c r="K9" s="41" t="s">
        <v>212</v>
      </c>
      <c r="L9" s="41" t="s">
        <v>213</v>
      </c>
      <c r="M9" s="41" t="s">
        <v>214</v>
      </c>
      <c r="N9" s="41" t="s">
        <v>215</v>
      </c>
      <c r="O9" s="41" t="s">
        <v>216</v>
      </c>
      <c r="P9" s="41" t="s">
        <v>217</v>
      </c>
    </row>
    <row r="10" spans="2:18" ht="18" customHeight="1" x14ac:dyDescent="0.35">
      <c r="B10" s="46" t="s">
        <v>137</v>
      </c>
      <c r="C10" s="84">
        <f>'📅 Mar'!E16</f>
        <v>346488.56</v>
      </c>
      <c r="D10" s="84">
        <f>'📅 Mar'!F16</f>
        <v>0</v>
      </c>
      <c r="E10" s="84">
        <f>'📅 Mar'!G16</f>
        <v>346488.56</v>
      </c>
      <c r="F10" s="84">
        <f>'📅 Mar'!H16</f>
        <v>325111.68080000009</v>
      </c>
      <c r="G10" s="76">
        <f>'📅 Mar'!G16-'📅 Mar'!H16</f>
        <v>21376.879199999908</v>
      </c>
      <c r="H10" s="76">
        <f>'📅 Mar'!G16</f>
        <v>346488.56</v>
      </c>
      <c r="I10" s="76">
        <f>'📅 Mar'!H16</f>
        <v>325111.68080000009</v>
      </c>
      <c r="J10" s="76">
        <f>'⚙️ Setup'!E24</f>
        <v>3523254.67</v>
      </c>
      <c r="K10" s="76">
        <f>'⚙️ Setup'!F24</f>
        <v>2670173.3200000003</v>
      </c>
      <c r="L10" s="76">
        <f>'⚙️ Setup'!E24-('📅 Mar'!G16)</f>
        <v>3176766.11</v>
      </c>
      <c r="M10" s="76">
        <f>'⚙️ Setup'!F24-('📅 Mar'!G16)</f>
        <v>2323684.7600000002</v>
      </c>
      <c r="N10" s="78">
        <f>IFERROR(('📅 Mar'!G16)/IF('⚙️ Setup'!E24=0,1,'⚙️ Setup'!E24),0)</f>
        <v>9.834331958751083E-2</v>
      </c>
      <c r="O10" s="78">
        <f>IFERROR(('📅 Mar'!G16)/IF('⚙️ Setup'!F24=0,1,'⚙️ Setup'!F24),0)</f>
        <v>0.12976257286549472</v>
      </c>
      <c r="P10" s="46" t="str">
        <f>IF(IFERROR(('📅 Mar'!G16)/IF('⚙️ Setup'!F24=0,1,'⚙️ Setup'!F24),0)&gt;=0.95,"⚠️ NEAR LIMIT",IF(IFERROR(('📅 Mar'!G16)/IF('⚙️ Setup'!F24=0,1,'⚙️ Setup'!F24),0)&gt;=0.8,"🟡 CAUTION","✅ ON TRACK"))</f>
        <v>✅ ON TRACK</v>
      </c>
    </row>
    <row r="11" spans="2:18" ht="18" customHeight="1" x14ac:dyDescent="0.35">
      <c r="B11" s="42" t="s">
        <v>138</v>
      </c>
      <c r="C11" s="82">
        <f>'📅 Apr'!E16</f>
        <v>0</v>
      </c>
      <c r="D11" s="82">
        <f>'📅 Apr'!F16</f>
        <v>0</v>
      </c>
      <c r="E11" s="82">
        <f>'📅 Apr'!G16</f>
        <v>0</v>
      </c>
      <c r="F11" s="82">
        <f>'📅 Apr'!H16</f>
        <v>418453.82839999994</v>
      </c>
      <c r="G11" s="75">
        <f>'📅 Apr'!G16-'📅 Apr'!H16</f>
        <v>-418453.82839999994</v>
      </c>
      <c r="H11" s="75">
        <f>'📅 Mar'!G16+'📅 Apr'!G16</f>
        <v>346488.56</v>
      </c>
      <c r="I11" s="75">
        <f>'📅 Mar'!H16+'📅 Apr'!H16</f>
        <v>743565.50919999997</v>
      </c>
      <c r="J11" s="75">
        <f>'⚙️ Setup'!E24</f>
        <v>3523254.67</v>
      </c>
      <c r="K11" s="75">
        <f>'⚙️ Setup'!F24</f>
        <v>2670173.3200000003</v>
      </c>
      <c r="L11" s="75">
        <f>'⚙️ Setup'!E24-('📅 Mar'!G16+'📅 Apr'!G16)</f>
        <v>3176766.11</v>
      </c>
      <c r="M11" s="75">
        <f>'⚙️ Setup'!F24-('📅 Mar'!G16+'📅 Apr'!G16)</f>
        <v>2323684.7600000002</v>
      </c>
      <c r="N11" s="79">
        <f>IFERROR(('📅 Mar'!G16+'📅 Apr'!G16)/IF('⚙️ Setup'!E24=0,1,'⚙️ Setup'!E24),0)</f>
        <v>9.834331958751083E-2</v>
      </c>
      <c r="O11" s="79">
        <f>IFERROR(('📅 Mar'!G16+'📅 Apr'!G16)/IF('⚙️ Setup'!F24=0,1,'⚙️ Setup'!F24),0)</f>
        <v>0.12976257286549472</v>
      </c>
      <c r="P11" s="42" t="str">
        <f>IF(IFERROR(('📅 Mar'!G16+'📅 Apr'!G16)/IF('⚙️ Setup'!F24=0,1,'⚙️ Setup'!F24),0)&gt;=0.95,"⚠️ NEAR LIMIT",IF(IFERROR(('📅 Mar'!G16+'📅 Apr'!G16)/IF('⚙️ Setup'!F24=0,1,'⚙️ Setup'!F24),0)&gt;=0.8,"🟡 CAUTION","✅ ON TRACK"))</f>
        <v>✅ ON TRACK</v>
      </c>
    </row>
    <row r="12" spans="2:18" ht="18" customHeight="1" x14ac:dyDescent="0.35">
      <c r="B12" s="46" t="s">
        <v>139</v>
      </c>
      <c r="C12" s="84">
        <f>'📅 May'!E16</f>
        <v>0</v>
      </c>
      <c r="D12" s="84">
        <f>'📅 May'!F16</f>
        <v>0</v>
      </c>
      <c r="E12" s="84">
        <f>'📅 May'!G16</f>
        <v>0</v>
      </c>
      <c r="F12" s="84">
        <f>'📅 May'!H16</f>
        <v>327914.38240000006</v>
      </c>
      <c r="G12" s="76">
        <f>'📅 May'!G16-'📅 May'!H16</f>
        <v>-327914.38240000006</v>
      </c>
      <c r="H12" s="76">
        <f>'📅 Mar'!G16+'📅 Apr'!G16+'📅 May'!G16</f>
        <v>346488.56</v>
      </c>
      <c r="I12" s="76">
        <f>'📅 Mar'!H16+'📅 Apr'!H16+'📅 May'!H16</f>
        <v>1071479.8916</v>
      </c>
      <c r="J12" s="76">
        <f>'⚙️ Setup'!E24</f>
        <v>3523254.67</v>
      </c>
      <c r="K12" s="76">
        <f>'⚙️ Setup'!F24</f>
        <v>2670173.3200000003</v>
      </c>
      <c r="L12" s="76">
        <f>'⚙️ Setup'!E24-('📅 Mar'!G16+'📅 Apr'!G16+'📅 May'!G16)</f>
        <v>3176766.11</v>
      </c>
      <c r="M12" s="76">
        <f>'⚙️ Setup'!F24-('📅 Mar'!G16+'📅 Apr'!G16+'📅 May'!G16)</f>
        <v>2323684.7600000002</v>
      </c>
      <c r="N12" s="78">
        <f>IFERROR(('📅 Mar'!G16+'📅 Apr'!G16+'📅 May'!G16)/IF('⚙️ Setup'!E24=0,1,'⚙️ Setup'!E24),0)</f>
        <v>9.834331958751083E-2</v>
      </c>
      <c r="O12" s="78">
        <f>IFERROR(('📅 Mar'!G16+'📅 Apr'!G16+'📅 May'!G16)/IF('⚙️ Setup'!F24=0,1,'⚙️ Setup'!F24),0)</f>
        <v>0.12976257286549472</v>
      </c>
      <c r="P12" s="46" t="str">
        <f>IF(IFERROR(('📅 Mar'!G16+'📅 Apr'!G16+'📅 May'!G16)/IF('⚙️ Setup'!F24=0,1,'⚙️ Setup'!F24),0)&gt;=0.95,"⚠️ NEAR LIMIT",IF(IFERROR(('📅 Mar'!G16+'📅 Apr'!G16+'📅 May'!G16)/IF('⚙️ Setup'!F24=0,1,'⚙️ Setup'!F24),0)&gt;=0.8,"🟡 CAUTION","✅ ON TRACK"))</f>
        <v>✅ ON TRACK</v>
      </c>
    </row>
    <row r="13" spans="2:18" ht="18" customHeight="1" x14ac:dyDescent="0.35">
      <c r="B13" s="42" t="s">
        <v>140</v>
      </c>
      <c r="C13" s="82">
        <f>'📅 Jun'!E16</f>
        <v>0</v>
      </c>
      <c r="D13" s="82">
        <f>'📅 Jun'!F16</f>
        <v>0</v>
      </c>
      <c r="E13" s="82">
        <f>'📅 Jun'!G16</f>
        <v>0</v>
      </c>
      <c r="F13" s="82">
        <f>'📅 Jun'!H16</f>
        <v>326536.43959999998</v>
      </c>
      <c r="G13" s="75">
        <f>'📅 Jun'!G16-'📅 Jun'!H16</f>
        <v>-326536.43959999998</v>
      </c>
      <c r="H13" s="75">
        <f>'📅 Mar'!G16+'📅 Apr'!G16+'📅 May'!G16+'📅 Jun'!G16</f>
        <v>346488.56</v>
      </c>
      <c r="I13" s="75">
        <f>'📅 Mar'!H16+'📅 Apr'!H16+'📅 May'!H16+'📅 Jun'!H16</f>
        <v>1398016.3311999999</v>
      </c>
      <c r="J13" s="75">
        <f>'⚙️ Setup'!E24</f>
        <v>3523254.67</v>
      </c>
      <c r="K13" s="75">
        <f>'⚙️ Setup'!F24</f>
        <v>2670173.3200000003</v>
      </c>
      <c r="L13" s="75">
        <f>'⚙️ Setup'!E24-('📅 Mar'!G16+'📅 Apr'!G16+'📅 May'!G16+'📅 Jun'!G16)</f>
        <v>3176766.11</v>
      </c>
      <c r="M13" s="75">
        <f>'⚙️ Setup'!F24-('📅 Mar'!G16+'📅 Apr'!G16+'📅 May'!G16+'📅 Jun'!G16)</f>
        <v>2323684.7600000002</v>
      </c>
      <c r="N13" s="79">
        <f>IFERROR(('📅 Mar'!G16+'📅 Apr'!G16+'📅 May'!G16+'📅 Jun'!G16)/IF('⚙️ Setup'!E24=0,1,'⚙️ Setup'!E24),0)</f>
        <v>9.834331958751083E-2</v>
      </c>
      <c r="O13" s="79">
        <f>IFERROR(('📅 Mar'!G16+'📅 Apr'!G16+'📅 May'!G16+'📅 Jun'!G16)/IF('⚙️ Setup'!F24=0,1,'⚙️ Setup'!F24),0)</f>
        <v>0.12976257286549472</v>
      </c>
      <c r="P13" s="42" t="str">
        <f>IF(IFERROR(('📅 Mar'!G16+'📅 Apr'!G16+'📅 May'!G16+'📅 Jun'!G16)/IF('⚙️ Setup'!F24=0,1,'⚙️ Setup'!F24),0)&gt;=0.95,"⚠️ NEAR LIMIT",IF(IFERROR(('📅 Mar'!G16+'📅 Apr'!G16+'📅 May'!G16+'📅 Jun'!G16)/IF('⚙️ Setup'!F24=0,1,'⚙️ Setup'!F24),0)&gt;=0.8,"🟡 CAUTION","✅ ON TRACK"))</f>
        <v>✅ ON TRACK</v>
      </c>
    </row>
    <row r="14" spans="2:18" ht="18" customHeight="1" x14ac:dyDescent="0.35">
      <c r="B14" s="46" t="s">
        <v>141</v>
      </c>
      <c r="C14" s="84">
        <f>'📅 Jul'!E16</f>
        <v>0</v>
      </c>
      <c r="D14" s="84">
        <f>'📅 Jul'!F16</f>
        <v>0</v>
      </c>
      <c r="E14" s="84">
        <f>'📅 Jul'!G16</f>
        <v>0</v>
      </c>
      <c r="F14" s="84">
        <f>'📅 Jul'!H16</f>
        <v>336536.32480000006</v>
      </c>
      <c r="G14" s="76">
        <f>'📅 Jul'!G16-'📅 Jul'!H16</f>
        <v>-336536.32480000006</v>
      </c>
      <c r="H14" s="76">
        <f>'📅 Mar'!G16+'📅 Apr'!G16+'📅 May'!G16+'📅 Jun'!G16+'📅 Jul'!G16</f>
        <v>346488.56</v>
      </c>
      <c r="I14" s="76">
        <f>'📅 Mar'!H16+'📅 Apr'!H16+'📅 May'!H16+'📅 Jun'!H16+'📅 Jul'!H16</f>
        <v>1734552.656</v>
      </c>
      <c r="J14" s="76">
        <f>'⚙️ Setup'!E24</f>
        <v>3523254.67</v>
      </c>
      <c r="K14" s="76">
        <f>'⚙️ Setup'!F24</f>
        <v>2670173.3200000003</v>
      </c>
      <c r="L14" s="76">
        <f>'⚙️ Setup'!E24-('📅 Mar'!G16+'📅 Apr'!G16+'📅 May'!G16+'📅 Jun'!G16+'📅 Jul'!G16)</f>
        <v>3176766.11</v>
      </c>
      <c r="M14" s="76">
        <f>'⚙️ Setup'!F24-('📅 Mar'!G16+'📅 Apr'!G16+'📅 May'!G16+'📅 Jun'!G16+'📅 Jul'!G16)</f>
        <v>2323684.7600000002</v>
      </c>
      <c r="N14" s="78">
        <f>IFERROR(('📅 Mar'!G16+'📅 Apr'!G16+'📅 May'!G16+'📅 Jun'!G16+'📅 Jul'!G16)/IF('⚙️ Setup'!E24=0,1,'⚙️ Setup'!E24),0)</f>
        <v>9.834331958751083E-2</v>
      </c>
      <c r="O14" s="78">
        <f>IFERROR(('📅 Mar'!G16+'📅 Apr'!G16+'📅 May'!G16+'📅 Jun'!G16+'📅 Jul'!G16)/IF('⚙️ Setup'!F24=0,1,'⚙️ Setup'!F24),0)</f>
        <v>0.12976257286549472</v>
      </c>
      <c r="P14" s="46" t="str">
        <f>IF(IFERROR(('📅 Mar'!G16+'📅 Apr'!G16+'📅 May'!G16+'📅 Jun'!G16+'📅 Jul'!G16)/IF('⚙️ Setup'!F24=0,1,'⚙️ Setup'!F24),0)&gt;=0.95,"⚠️ NEAR LIMIT",IF(IFERROR(('📅 Mar'!G16+'📅 Apr'!G16+'📅 May'!G16+'📅 Jun'!G16+'📅 Jul'!G16)/IF('⚙️ Setup'!F24=0,1,'⚙️ Setup'!F24),0)&gt;=0.8,"🟡 CAUTION","✅ ON TRACK"))</f>
        <v>✅ ON TRACK</v>
      </c>
    </row>
    <row r="15" spans="2:18" ht="18" customHeight="1" x14ac:dyDescent="0.35">
      <c r="B15" s="42" t="s">
        <v>142</v>
      </c>
      <c r="C15" s="82">
        <f>'📅 Aug'!E16</f>
        <v>0</v>
      </c>
      <c r="D15" s="82">
        <f>'📅 Aug'!F16</f>
        <v>0</v>
      </c>
      <c r="E15" s="82">
        <f>'📅 Aug'!G16</f>
        <v>0</v>
      </c>
      <c r="F15" s="82">
        <f>'📅 Aug'!H16</f>
        <v>322444.31959999999</v>
      </c>
      <c r="G15" s="75">
        <f>'📅 Aug'!G16-'📅 Aug'!H16</f>
        <v>-322444.31959999999</v>
      </c>
      <c r="H15" s="75">
        <f>'📅 Mar'!G16+'📅 Apr'!G16+'📅 May'!G16+'📅 Jun'!G16+'📅 Jul'!G16+'📅 Aug'!G16</f>
        <v>346488.56</v>
      </c>
      <c r="I15" s="75">
        <f>'📅 Mar'!H16+'📅 Apr'!H16+'📅 May'!H16+'📅 Jun'!H16+'📅 Jul'!H16+'📅 Aug'!H16</f>
        <v>2056996.9756</v>
      </c>
      <c r="J15" s="75">
        <f>'⚙️ Setup'!E24</f>
        <v>3523254.67</v>
      </c>
      <c r="K15" s="75">
        <f>'⚙️ Setup'!F24</f>
        <v>2670173.3200000003</v>
      </c>
      <c r="L15" s="75">
        <f>'⚙️ Setup'!E24-('📅 Mar'!G16+'📅 Apr'!G16+'📅 May'!G16+'📅 Jun'!G16+'📅 Jul'!G16+'📅 Aug'!G16)</f>
        <v>3176766.11</v>
      </c>
      <c r="M15" s="75">
        <f>'⚙️ Setup'!F24-('📅 Mar'!G16+'📅 Apr'!G16+'📅 May'!G16+'📅 Jun'!G16+'📅 Jul'!G16+'📅 Aug'!G16)</f>
        <v>2323684.7600000002</v>
      </c>
      <c r="N15" s="79">
        <f>IFERROR(('📅 Mar'!G16+'📅 Apr'!G16+'📅 May'!G16+'📅 Jun'!G16+'📅 Jul'!G16+'📅 Aug'!G16)/IF('⚙️ Setup'!E24=0,1,'⚙️ Setup'!E24),0)</f>
        <v>9.834331958751083E-2</v>
      </c>
      <c r="O15" s="79">
        <f>IFERROR(('📅 Mar'!G16+'📅 Apr'!G16+'📅 May'!G16+'📅 Jun'!G16+'📅 Jul'!G16+'📅 Aug'!G16)/IF('⚙️ Setup'!F24=0,1,'⚙️ Setup'!F24),0)</f>
        <v>0.12976257286549472</v>
      </c>
      <c r="P15" s="42" t="str">
        <f>IF(IFERROR(('📅 Mar'!G16+'📅 Apr'!G16+'📅 May'!G16+'📅 Jun'!G16+'📅 Jul'!G16+'📅 Aug'!G16)/IF('⚙️ Setup'!F24=0,1,'⚙️ Setup'!F24),0)&gt;=0.95,"⚠️ NEAR LIMIT",IF(IFERROR(('📅 Mar'!G16+'📅 Apr'!G16+'📅 May'!G16+'📅 Jun'!G16+'📅 Jul'!G16+'📅 Aug'!G16)/IF('⚙️ Setup'!F24=0,1,'⚙️ Setup'!F24),0)&gt;=0.8,"🟡 CAUTION","✅ ON TRACK"))</f>
        <v>✅ ON TRACK</v>
      </c>
    </row>
    <row r="16" spans="2:18" ht="18" customHeight="1" x14ac:dyDescent="0.35">
      <c r="B16" s="46" t="s">
        <v>143</v>
      </c>
      <c r="C16" s="84">
        <f>'📅 Sep'!E16</f>
        <v>0</v>
      </c>
      <c r="D16" s="84">
        <f>'📅 Sep'!F16</f>
        <v>0</v>
      </c>
      <c r="E16" s="84">
        <f>'📅 Sep'!G16</f>
        <v>0</v>
      </c>
      <c r="F16" s="84">
        <f>'📅 Sep'!H16</f>
        <v>328944.53719999996</v>
      </c>
      <c r="G16" s="76">
        <f>'📅 Sep'!G16-'📅 Sep'!H16</f>
        <v>-328944.53719999996</v>
      </c>
      <c r="H16" s="76">
        <f>'📅 Mar'!G16+'📅 Apr'!G16+'📅 May'!G16+'📅 Jun'!G16+'📅 Jul'!G16+'📅 Aug'!G16+'📅 Sep'!G16</f>
        <v>346488.56</v>
      </c>
      <c r="I16" s="76">
        <f>'📅 Mar'!H16+'📅 Apr'!H16+'📅 May'!H16+'📅 Jun'!H16+'📅 Jul'!H16+'📅 Aug'!H16+'📅 Sep'!H16</f>
        <v>2385941.5128000001</v>
      </c>
      <c r="J16" s="76">
        <f>'⚙️ Setup'!E24</f>
        <v>3523254.67</v>
      </c>
      <c r="K16" s="76">
        <f>'⚙️ Setup'!F24</f>
        <v>2670173.3200000003</v>
      </c>
      <c r="L16" s="76">
        <f>'⚙️ Setup'!E24-('📅 Mar'!G16+'📅 Apr'!G16+'📅 May'!G16+'📅 Jun'!G16+'📅 Jul'!G16+'📅 Aug'!G16+'📅 Sep'!G16)</f>
        <v>3176766.11</v>
      </c>
      <c r="M16" s="76">
        <f>'⚙️ Setup'!F24-('📅 Mar'!G16+'📅 Apr'!G16+'📅 May'!G16+'📅 Jun'!G16+'📅 Jul'!G16+'📅 Aug'!G16+'📅 Sep'!G16)</f>
        <v>2323684.7600000002</v>
      </c>
      <c r="N16" s="78">
        <f>IFERROR(('📅 Mar'!G16+'📅 Apr'!G16+'📅 May'!G16+'📅 Jun'!G16+'📅 Jul'!G16+'📅 Aug'!G16+'📅 Sep'!G16)/IF('⚙️ Setup'!E24=0,1,'⚙️ Setup'!E24),0)</f>
        <v>9.834331958751083E-2</v>
      </c>
      <c r="O16" s="78">
        <f>IFERROR(('📅 Mar'!G16+'📅 Apr'!G16+'📅 May'!G16+'📅 Jun'!G16+'📅 Jul'!G16+'📅 Aug'!G16+'📅 Sep'!G16)/IF('⚙️ Setup'!F24=0,1,'⚙️ Setup'!F24),0)</f>
        <v>0.12976257286549472</v>
      </c>
      <c r="P16" s="46" t="str">
        <f>IF(IFERROR(('📅 Mar'!G16+'📅 Apr'!G16+'📅 May'!G16+'📅 Jun'!G16+'📅 Jul'!G16+'📅 Aug'!G16+'📅 Sep'!G16)/IF('⚙️ Setup'!F24=0,1,'⚙️ Setup'!F24),0)&gt;=0.95,"⚠️ NEAR LIMIT",IF(IFERROR(('📅 Mar'!G16+'📅 Apr'!G16+'📅 May'!G16+'📅 Jun'!G16+'📅 Jul'!G16+'📅 Aug'!G16+'📅 Sep'!G16)/IF('⚙️ Setup'!F24=0,1,'⚙️ Setup'!F24),0)&gt;=0.8,"🟡 CAUTION","✅ ON TRACK"))</f>
        <v>✅ ON TRACK</v>
      </c>
    </row>
    <row r="17" spans="2:16" ht="18" customHeight="1" x14ac:dyDescent="0.35">
      <c r="B17" s="42" t="s">
        <v>144</v>
      </c>
      <c r="C17" s="82">
        <f>'📅 Oct'!E16</f>
        <v>0</v>
      </c>
      <c r="D17" s="82">
        <f>'📅 Oct'!F16</f>
        <v>0</v>
      </c>
      <c r="E17" s="82">
        <f>'📅 Oct'!G16</f>
        <v>0</v>
      </c>
      <c r="F17" s="82">
        <f>'📅 Oct'!H16</f>
        <v>300676.30720000004</v>
      </c>
      <c r="G17" s="75">
        <f>'📅 Oct'!G16-'📅 Oct'!H16</f>
        <v>-300676.30720000004</v>
      </c>
      <c r="H17" s="75">
        <f>'📅 Mar'!G16+'📅 Apr'!G16+'📅 May'!G16+'📅 Jun'!G16+'📅 Jul'!G16+'📅 Aug'!G16+'📅 Sep'!G16+'📅 Oct'!G16</f>
        <v>346488.56</v>
      </c>
      <c r="I17" s="75">
        <f>'📅 Mar'!H16+'📅 Apr'!H16+'📅 May'!H16+'📅 Jun'!H16+'📅 Jul'!H16+'📅 Aug'!H16+'📅 Sep'!H16+'📅 Oct'!H16</f>
        <v>2686617.8200000003</v>
      </c>
      <c r="J17" s="75">
        <f>'⚙️ Setup'!E24</f>
        <v>3523254.67</v>
      </c>
      <c r="K17" s="75">
        <f>'⚙️ Setup'!F24</f>
        <v>2670173.3200000003</v>
      </c>
      <c r="L17" s="75">
        <f>'⚙️ Setup'!E24-('📅 Mar'!G16+'📅 Apr'!G16+'📅 May'!G16+'📅 Jun'!G16+'📅 Jul'!G16+'📅 Aug'!G16+'📅 Sep'!G16+'📅 Oct'!G16)</f>
        <v>3176766.11</v>
      </c>
      <c r="M17" s="75">
        <f>'⚙️ Setup'!F24-('📅 Mar'!G16+'📅 Apr'!G16+'📅 May'!G16+'📅 Jun'!G16+'📅 Jul'!G16+'📅 Aug'!G16+'📅 Sep'!G16+'📅 Oct'!G16)</f>
        <v>2323684.7600000002</v>
      </c>
      <c r="N17" s="79">
        <f>IFERROR(('📅 Mar'!G16+'📅 Apr'!G16+'📅 May'!G16+'📅 Jun'!G16+'📅 Jul'!G16+'📅 Aug'!G16+'📅 Sep'!G16+'📅 Oct'!G16)/IF('⚙️ Setup'!E24=0,1,'⚙️ Setup'!E24),0)</f>
        <v>9.834331958751083E-2</v>
      </c>
      <c r="O17" s="79">
        <f>IFERROR(('📅 Mar'!G16+'📅 Apr'!G16+'📅 May'!G16+'📅 Jun'!G16+'📅 Jul'!G16+'📅 Aug'!G16+'📅 Sep'!G16+'📅 Oct'!G16)/IF('⚙️ Setup'!F24=0,1,'⚙️ Setup'!F24),0)</f>
        <v>0.12976257286549472</v>
      </c>
      <c r="P17" s="42" t="str">
        <f>IF(IFERROR(('📅 Mar'!G16+'📅 Apr'!G16+'📅 May'!G16+'📅 Jun'!G16+'📅 Jul'!G16+'📅 Aug'!G16+'📅 Sep'!G16+'📅 Oct'!G16)/IF('⚙️ Setup'!F24=0,1,'⚙️ Setup'!F24),0)&gt;=0.95,"⚠️ NEAR LIMIT",IF(IFERROR(('📅 Mar'!G16+'📅 Apr'!G16+'📅 May'!G16+'📅 Jun'!G16+'📅 Jul'!G16+'📅 Aug'!G16+'📅 Sep'!G16+'📅 Oct'!G16)/IF('⚙️ Setup'!F24=0,1,'⚙️ Setup'!F24),0)&gt;=0.8,"🟡 CAUTION","✅ ON TRACK"))</f>
        <v>✅ ON TRACK</v>
      </c>
    </row>
    <row r="18" spans="2:16" ht="18" customHeight="1" x14ac:dyDescent="0.35">
      <c r="B18" s="46" t="s">
        <v>145</v>
      </c>
      <c r="C18" s="84">
        <f>'📅 Nov'!E16</f>
        <v>0</v>
      </c>
      <c r="D18" s="84">
        <f>'📅 Nov'!F16</f>
        <v>0</v>
      </c>
      <c r="E18" s="84">
        <f>'📅 Nov'!G16</f>
        <v>0</v>
      </c>
      <c r="F18" s="84">
        <f>'📅 Nov'!H16</f>
        <v>249572.70199999999</v>
      </c>
      <c r="G18" s="76">
        <f>'📅 Nov'!G16-'📅 Nov'!H16</f>
        <v>-249572.70199999999</v>
      </c>
      <c r="H18" s="76">
        <f>'📅 Mar'!G16+'📅 Apr'!G16+'📅 May'!G16+'📅 Jun'!G16+'📅 Jul'!G16+'📅 Aug'!G16+'📅 Sep'!G16+'📅 Oct'!G16+'📅 Nov'!G16</f>
        <v>346488.56</v>
      </c>
      <c r="I18" s="76">
        <f>'📅 Mar'!H16+'📅 Apr'!H16+'📅 May'!H16+'📅 Jun'!H16+'📅 Jul'!H16+'📅 Aug'!H16+'📅 Sep'!H16+'📅 Oct'!H16+'📅 Nov'!H16</f>
        <v>2936190.5220000003</v>
      </c>
      <c r="J18" s="76">
        <f>'⚙️ Setup'!E24</f>
        <v>3523254.67</v>
      </c>
      <c r="K18" s="76">
        <f>'⚙️ Setup'!F24</f>
        <v>2670173.3200000003</v>
      </c>
      <c r="L18" s="76">
        <f>'⚙️ Setup'!E24-('📅 Mar'!G16+'📅 Apr'!G16+'📅 May'!G16+'📅 Jun'!G16+'📅 Jul'!G16+'📅 Aug'!G16+'📅 Sep'!G16+'📅 Oct'!G16+'📅 Nov'!G16)</f>
        <v>3176766.11</v>
      </c>
      <c r="M18" s="76">
        <f>'⚙️ Setup'!F24-('📅 Mar'!G16+'📅 Apr'!G16+'📅 May'!G16+'📅 Jun'!G16+'📅 Jul'!G16+'📅 Aug'!G16+'📅 Sep'!G16+'📅 Oct'!G16+'📅 Nov'!G16)</f>
        <v>2323684.7600000002</v>
      </c>
      <c r="N18" s="78">
        <f>IFERROR(('📅 Mar'!G16+'📅 Apr'!G16+'📅 May'!G16+'📅 Jun'!G16+'📅 Jul'!G16+'📅 Aug'!G16+'📅 Sep'!G16+'📅 Oct'!G16+'📅 Nov'!G16)/IF('⚙️ Setup'!E24=0,1,'⚙️ Setup'!E24),0)</f>
        <v>9.834331958751083E-2</v>
      </c>
      <c r="O18" s="78">
        <f>IFERROR(('📅 Mar'!G16+'📅 Apr'!G16+'📅 May'!G16+'📅 Jun'!G16+'📅 Jul'!G16+'📅 Aug'!G16+'📅 Sep'!G16+'📅 Oct'!G16+'📅 Nov'!G16)/IF('⚙️ Setup'!F24=0,1,'⚙️ Setup'!F24),0)</f>
        <v>0.12976257286549472</v>
      </c>
      <c r="P18" s="46" t="str">
        <f>IF(IFERROR(('📅 Mar'!G16+'📅 Apr'!G16+'📅 May'!G16+'📅 Jun'!G16+'📅 Jul'!G16+'📅 Aug'!G16+'📅 Sep'!G16+'📅 Oct'!G16+'📅 Nov'!G16)/IF('⚙️ Setup'!F24=0,1,'⚙️ Setup'!F24),0)&gt;=0.95,"⚠️ NEAR LIMIT",IF(IFERROR(('📅 Mar'!G16+'📅 Apr'!G16+'📅 May'!G16+'📅 Jun'!G16+'📅 Jul'!G16+'📅 Aug'!G16+'📅 Sep'!G16+'📅 Oct'!G16+'📅 Nov'!G16)/IF('⚙️ Setup'!F24=0,1,'⚙️ Setup'!F24),0)&gt;=0.8,"🟡 CAUTION","✅ ON TRACK"))</f>
        <v>✅ ON TRACK</v>
      </c>
    </row>
    <row r="19" spans="2:16" ht="18" customHeight="1" x14ac:dyDescent="0.35">
      <c r="B19" s="42" t="s">
        <v>146</v>
      </c>
      <c r="C19" s="82">
        <f>'📅 Dec'!E16</f>
        <v>0</v>
      </c>
      <c r="D19" s="82">
        <f>'📅 Dec'!F16</f>
        <v>0</v>
      </c>
      <c r="E19" s="82">
        <f>'📅 Dec'!G16</f>
        <v>0</v>
      </c>
      <c r="F19" s="82">
        <f>'📅 Dec'!H16</f>
        <v>259045.5472</v>
      </c>
      <c r="G19" s="75">
        <f>'📅 Dec'!G16-'📅 Dec'!H16</f>
        <v>-259045.5472</v>
      </c>
      <c r="H19" s="75">
        <f>'📅 Mar'!G16+'📅 Apr'!G16+'📅 May'!G16+'📅 Jun'!G16+'📅 Jul'!G16+'📅 Aug'!G16+'📅 Sep'!G16+'📅 Oct'!G16+'📅 Nov'!G16+'📅 Dec'!G16</f>
        <v>346488.56</v>
      </c>
      <c r="I19" s="75">
        <f>'📅 Mar'!H16+'📅 Apr'!H16+'📅 May'!H16+'📅 Jun'!H16+'📅 Jul'!H16+'📅 Aug'!H16+'📅 Sep'!H16+'📅 Oct'!H16+'📅 Nov'!H16+'📅 Dec'!H16</f>
        <v>3195236.0692000003</v>
      </c>
      <c r="J19" s="75">
        <f>'⚙️ Setup'!E24</f>
        <v>3523254.67</v>
      </c>
      <c r="K19" s="75">
        <f>'⚙️ Setup'!F24</f>
        <v>2670173.3200000003</v>
      </c>
      <c r="L19" s="75">
        <f>'⚙️ Setup'!E24-('📅 Mar'!G16+'📅 Apr'!G16+'📅 May'!G16+'📅 Jun'!G16+'📅 Jul'!G16+'📅 Aug'!G16+'📅 Sep'!G16+'📅 Oct'!G16+'📅 Nov'!G16+'📅 Dec'!G16)</f>
        <v>3176766.11</v>
      </c>
      <c r="M19" s="75">
        <f>'⚙️ Setup'!F24-('📅 Mar'!G16+'📅 Apr'!G16+'📅 May'!G16+'📅 Jun'!G16+'📅 Jul'!G16+'📅 Aug'!G16+'📅 Sep'!G16+'📅 Oct'!G16+'📅 Nov'!G16+'📅 Dec'!G16)</f>
        <v>2323684.7600000002</v>
      </c>
      <c r="N19" s="79">
        <f>IFERROR(('📅 Mar'!G16+'📅 Apr'!G16+'📅 May'!G16+'📅 Jun'!G16+'📅 Jul'!G16+'📅 Aug'!G16+'📅 Sep'!G16+'📅 Oct'!G16+'📅 Nov'!G16+'📅 Dec'!G16)/IF('⚙️ Setup'!E24=0,1,'⚙️ Setup'!E24),0)</f>
        <v>9.834331958751083E-2</v>
      </c>
      <c r="O19" s="79">
        <f>IFERROR(('📅 Mar'!G16+'📅 Apr'!G16+'📅 May'!G16+'📅 Jun'!G16+'📅 Jul'!G16+'📅 Aug'!G16+'📅 Sep'!G16+'📅 Oct'!G16+'📅 Nov'!G16+'📅 Dec'!G16)/IF('⚙️ Setup'!F24=0,1,'⚙️ Setup'!F24),0)</f>
        <v>0.12976257286549472</v>
      </c>
      <c r="P19" s="42" t="str">
        <f>IF(IFERROR(('📅 Mar'!G16+'📅 Apr'!G16+'📅 May'!G16+'📅 Jun'!G16+'📅 Jul'!G16+'📅 Aug'!G16+'📅 Sep'!G16+'📅 Oct'!G16+'📅 Nov'!G16+'📅 Dec'!G16)/IF('⚙️ Setup'!F24=0,1,'⚙️ Setup'!F24),0)&gt;=0.95,"⚠️ NEAR LIMIT",IF(IFERROR(('📅 Mar'!G16+'📅 Apr'!G16+'📅 May'!G16+'📅 Jun'!G16+'📅 Jul'!G16+'📅 Aug'!G16+'📅 Sep'!G16+'📅 Oct'!G16+'📅 Nov'!G16+'📅 Dec'!G16)/IF('⚙️ Setup'!F24=0,1,'⚙️ Setup'!F24),0)&gt;=0.8,"🟡 CAUTION","✅ ON TRACK"))</f>
        <v>✅ ON TRACK</v>
      </c>
    </row>
    <row r="20" spans="2:16" ht="18" customHeight="1" x14ac:dyDescent="0.35">
      <c r="B20" s="46" t="s">
        <v>147</v>
      </c>
      <c r="C20" s="84">
        <f>'📅 Jan'!E16</f>
        <v>0</v>
      </c>
      <c r="D20" s="84">
        <f>'📅 Jan'!F16</f>
        <v>0</v>
      </c>
      <c r="E20" s="84">
        <f>'📅 Jan'!G16</f>
        <v>0</v>
      </c>
      <c r="F20" s="84">
        <f>'📅 Jan'!H16</f>
        <v>249572.70199999999</v>
      </c>
      <c r="G20" s="76">
        <f>'📅 Jan'!G16-'📅 Jan'!H16</f>
        <v>-249572.70199999999</v>
      </c>
      <c r="H20" s="76">
        <f>'📅 Mar'!G16+'📅 Apr'!G16+'📅 May'!G16+'📅 Jun'!G16+'📅 Jul'!G16+'📅 Aug'!G16+'📅 Sep'!G16+'📅 Oct'!G16+'📅 Nov'!G16+'📅 Dec'!G16+'📅 Jan'!G16</f>
        <v>346488.56</v>
      </c>
      <c r="I20" s="76">
        <f>'📅 Mar'!H16+'📅 Apr'!H16+'📅 May'!H16+'📅 Jun'!H16+'📅 Jul'!H16+'📅 Aug'!H16+'📅 Sep'!H16+'📅 Oct'!H16+'📅 Nov'!H16+'📅 Dec'!H16+'📅 Jan'!H16</f>
        <v>3444808.7712000003</v>
      </c>
      <c r="J20" s="76">
        <f>'⚙️ Setup'!E24</f>
        <v>3523254.67</v>
      </c>
      <c r="K20" s="76">
        <f>'⚙️ Setup'!F24</f>
        <v>2670173.3200000003</v>
      </c>
      <c r="L20" s="76">
        <f>'⚙️ Setup'!E24-('📅 Mar'!G16+'📅 Apr'!G16+'📅 May'!G16+'📅 Jun'!G16+'📅 Jul'!G16+'📅 Aug'!G16+'📅 Sep'!G16+'📅 Oct'!G16+'📅 Nov'!G16+'📅 Dec'!G16+'📅 Jan'!G16)</f>
        <v>3176766.11</v>
      </c>
      <c r="M20" s="76">
        <f>'⚙️ Setup'!F24-('📅 Mar'!G16+'📅 Apr'!G16+'📅 May'!G16+'📅 Jun'!G16+'📅 Jul'!G16+'📅 Aug'!G16+'📅 Sep'!G16+'📅 Oct'!G16+'📅 Nov'!G16+'📅 Dec'!G16+'📅 Jan'!G16)</f>
        <v>2323684.7600000002</v>
      </c>
      <c r="N20" s="78">
        <f>IFERROR(('📅 Mar'!G16+'📅 Apr'!G16+'📅 May'!G16+'📅 Jun'!G16+'📅 Jul'!G16+'📅 Aug'!G16+'📅 Sep'!G16+'📅 Oct'!G16+'📅 Nov'!G16+'📅 Dec'!G16+'📅 Jan'!G16)/IF('⚙️ Setup'!E24=0,1,'⚙️ Setup'!E24),0)</f>
        <v>9.834331958751083E-2</v>
      </c>
      <c r="O20" s="78">
        <f>IFERROR(('📅 Mar'!G16+'📅 Apr'!G16+'📅 May'!G16+'📅 Jun'!G16+'📅 Jul'!G16+'📅 Aug'!G16+'📅 Sep'!G16+'📅 Oct'!G16+'📅 Nov'!G16+'📅 Dec'!G16+'📅 Jan'!G16)/IF('⚙️ Setup'!F24=0,1,'⚙️ Setup'!F24),0)</f>
        <v>0.12976257286549472</v>
      </c>
      <c r="P20" s="46" t="str">
        <f>IF(IFERROR(('📅 Mar'!G16+'📅 Apr'!G16+'📅 May'!G16+'📅 Jun'!G16+'📅 Jul'!G16+'📅 Aug'!G16+'📅 Sep'!G16+'📅 Oct'!G16+'📅 Nov'!G16+'📅 Dec'!G16+'📅 Jan'!G16)/IF('⚙️ Setup'!F24=0,1,'⚙️ Setup'!F24),0)&gt;=0.95,"⚠️ NEAR LIMIT",IF(IFERROR(('📅 Mar'!G16+'📅 Apr'!G16+'📅 May'!G16+'📅 Jun'!G16+'📅 Jul'!G16+'📅 Aug'!G16+'📅 Sep'!G16+'📅 Oct'!G16+'📅 Nov'!G16+'📅 Dec'!G16+'📅 Jan'!G16)/IF('⚙️ Setup'!F24=0,1,'⚙️ Setup'!F24),0)&gt;=0.8,"🟡 CAUTION","✅ ON TRACK"))</f>
        <v>✅ ON TRACK</v>
      </c>
    </row>
    <row r="21" spans="2:16" ht="18" customHeight="1" x14ac:dyDescent="0.35">
      <c r="B21" s="42" t="s">
        <v>218</v>
      </c>
      <c r="C21" s="82">
        <f>'📅 Feb-E'!E16</f>
        <v>0</v>
      </c>
      <c r="D21" s="82">
        <f>'📅 Feb-E'!F16</f>
        <v>0</v>
      </c>
      <c r="E21" s="82">
        <f>'📅 Feb-E'!G16</f>
        <v>0</v>
      </c>
      <c r="F21" s="82">
        <f>'📅 Feb-E'!H16</f>
        <v>229482.3492</v>
      </c>
      <c r="G21" s="75">
        <f>'📅 Feb-E'!G16-'📅 Feb-E'!H16</f>
        <v>-229482.3492</v>
      </c>
      <c r="H21" s="75">
        <f>'📅 Mar'!G16+'📅 Apr'!G16+'📅 May'!G16+'📅 Jun'!G16+'📅 Jul'!G16+'📅 Aug'!G16+'📅 Sep'!G16+'📅 Oct'!G16+'📅 Nov'!G16+'📅 Dec'!G16+'📅 Jan'!G16+'📅 Feb-E'!G16</f>
        <v>346488.56</v>
      </c>
      <c r="I21" s="75">
        <f>'📅 Mar'!H16+'📅 Apr'!H16+'📅 May'!H16+'📅 Jun'!H16+'📅 Jul'!H16+'📅 Aug'!H16+'📅 Sep'!H16+'📅 Oct'!H16+'📅 Nov'!H16+'📅 Dec'!H16+'📅 Jan'!H16+'📅 Feb-E'!H16</f>
        <v>3674291.1204000004</v>
      </c>
      <c r="J21" s="75">
        <f>'⚙️ Setup'!E24</f>
        <v>3523254.67</v>
      </c>
      <c r="K21" s="75">
        <f>'⚙️ Setup'!F24</f>
        <v>2670173.3200000003</v>
      </c>
      <c r="L21" s="75">
        <f>'⚙️ Setup'!E24-('📅 Mar'!G16+'📅 Apr'!G16+'📅 May'!G16+'📅 Jun'!G16+'📅 Jul'!G16+'📅 Aug'!G16+'📅 Sep'!G16+'📅 Oct'!G16+'📅 Nov'!G16+'📅 Dec'!G16+'📅 Jan'!G16+'📅 Feb-E'!G16)</f>
        <v>3176766.11</v>
      </c>
      <c r="M21" s="75">
        <f>'⚙️ Setup'!F24-('📅 Mar'!G16+'📅 Apr'!G16+'📅 May'!G16+'📅 Jun'!G16+'📅 Jul'!G16+'📅 Aug'!G16+'📅 Sep'!G16+'📅 Oct'!G16+'📅 Nov'!G16+'📅 Dec'!G16+'📅 Jan'!G16+'📅 Feb-E'!G16)</f>
        <v>2323684.7600000002</v>
      </c>
      <c r="N21" s="79">
        <f>IFERROR(('📅 Mar'!G16+'📅 Apr'!G16+'📅 May'!G16+'📅 Jun'!G16+'📅 Jul'!G16+'📅 Aug'!G16+'📅 Sep'!G16+'📅 Oct'!G16+'📅 Nov'!G16+'📅 Dec'!G16+'📅 Jan'!G16+'📅 Feb-E'!G16)/IF('⚙️ Setup'!E24=0,1,'⚙️ Setup'!E24),0)</f>
        <v>9.834331958751083E-2</v>
      </c>
      <c r="O21" s="79">
        <f>IFERROR(('📅 Mar'!G16+'📅 Apr'!G16+'📅 May'!G16+'📅 Jun'!G16+'📅 Jul'!G16+'📅 Aug'!G16+'📅 Sep'!G16+'📅 Oct'!G16+'📅 Nov'!G16+'📅 Dec'!G16+'📅 Jan'!G16+'📅 Feb-E'!G16)/IF('⚙️ Setup'!F24=0,1,'⚙️ Setup'!F24),0)</f>
        <v>0.12976257286549472</v>
      </c>
      <c r="P21" s="42" t="str">
        <f>IF(IFERROR(('📅 Mar'!G16+'📅 Apr'!G16+'📅 May'!G16+'📅 Jun'!G16+'📅 Jul'!G16+'📅 Aug'!G16+'📅 Sep'!G16+'📅 Oct'!G16+'📅 Nov'!G16+'📅 Dec'!G16+'📅 Jan'!G16+'📅 Feb-E'!G16)/IF('⚙️ Setup'!F24=0,1,'⚙️ Setup'!F24),0)&gt;=0.95,"⚠️ NEAR LIMIT",IF(IFERROR(('📅 Mar'!G16+'📅 Apr'!G16+'📅 May'!G16+'📅 Jun'!G16+'📅 Jul'!G16+'📅 Aug'!G16+'📅 Sep'!G16+'📅 Oct'!G16+'📅 Nov'!G16+'📅 Dec'!G16+'📅 Jan'!G16+'📅 Feb-E'!G16)/IF('⚙️ Setup'!F24=0,1,'⚙️ Setup'!F24),0)&gt;=0.8,"🟡 CAUTION","✅ ON TRACK"))</f>
        <v>✅ ON TRACK</v>
      </c>
    </row>
    <row r="22" spans="2:16" ht="18" customHeight="1" x14ac:dyDescent="0.35">
      <c r="B22" s="48" t="s">
        <v>66</v>
      </c>
      <c r="C22" s="99">
        <f>SUM(C10:C21)</f>
        <v>346488.56</v>
      </c>
      <c r="D22" s="99">
        <f>SUM(D10:D21)</f>
        <v>0</v>
      </c>
      <c r="E22" s="99">
        <f>SUM(E10:E21)</f>
        <v>346488.56</v>
      </c>
      <c r="F22" s="99">
        <f>SUM(F10:F21)</f>
        <v>3674291.1204000004</v>
      </c>
      <c r="G22" s="72"/>
      <c r="H22" s="72"/>
      <c r="I22" s="72"/>
      <c r="J22" s="72"/>
      <c r="K22" s="72"/>
      <c r="L22" s="72"/>
      <c r="M22" s="72"/>
      <c r="N22" s="72"/>
      <c r="O22" s="72"/>
      <c r="P22" s="72"/>
    </row>
    <row r="23" spans="2:16" ht="21.75" customHeight="1" x14ac:dyDescent="0.35">
      <c r="J23" s="7"/>
    </row>
    <row r="24" spans="2:16" ht="15" customHeight="1" x14ac:dyDescent="0.35">
      <c r="B24" s="197" t="s">
        <v>219</v>
      </c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</row>
    <row r="25" spans="2:16" ht="21.75" customHeight="1" x14ac:dyDescent="0.35">
      <c r="B25" s="41" t="s">
        <v>38</v>
      </c>
      <c r="C25" s="41" t="s">
        <v>39</v>
      </c>
      <c r="D25" s="41" t="s">
        <v>40</v>
      </c>
      <c r="E25" s="41" t="s">
        <v>220</v>
      </c>
      <c r="F25" s="41" t="s">
        <v>221</v>
      </c>
      <c r="G25" s="41" t="s">
        <v>222</v>
      </c>
      <c r="H25" s="41" t="s">
        <v>223</v>
      </c>
      <c r="I25" s="41" t="s">
        <v>224</v>
      </c>
      <c r="J25" s="41" t="s">
        <v>215</v>
      </c>
      <c r="K25" s="41" t="s">
        <v>216</v>
      </c>
      <c r="L25" s="41" t="s">
        <v>217</v>
      </c>
      <c r="M25" s="80" t="s">
        <v>225</v>
      </c>
      <c r="N25" s="41" t="s">
        <v>217</v>
      </c>
      <c r="O25" s="81" t="s">
        <v>226</v>
      </c>
    </row>
    <row r="26" spans="2:16" ht="21.75" customHeight="1" x14ac:dyDescent="0.35">
      <c r="B26" s="42" t="str">
        <f>'⚙️ Setup'!B15</f>
        <v>1005</v>
      </c>
      <c r="C26" s="43" t="str">
        <f>'⚙️ Setup'!C15</f>
        <v>Project Management</v>
      </c>
      <c r="D26" s="42" t="str">
        <f>'⚙️ Setup'!D15</f>
        <v>FFP</v>
      </c>
      <c r="E26" s="82">
        <f>'⚙️ Setup'!E15</f>
        <v>593717.36</v>
      </c>
      <c r="F26" s="82">
        <f>'⚙️ Setup'!F15</f>
        <v>432918.91000000003</v>
      </c>
      <c r="G26" s="82">
        <f>'📅 Mar'!G7+'📅 Apr'!G7+'📅 May'!G7+'📅 Jun'!G7+'📅 Jul'!G7+'📅 Aug'!G7+'📅 Sep'!G7+'📅 Oct'!G7+'📅 Nov'!G7+'📅 Dec'!G7+'📅 Jan'!G7+'📅 Feb-E'!G7</f>
        <v>45545.440000000002</v>
      </c>
      <c r="H26" s="82">
        <f>'⚙️ Setup'!E15-('📅 Mar'!G7+'📅 Apr'!G7+'📅 May'!G7+'📅 Jun'!G7+'📅 Jul'!G7+'📅 Aug'!G7+'📅 Sep'!G7+'📅 Oct'!G7+'📅 Nov'!G7+'📅 Dec'!G7+'📅 Jan'!G7+'📅 Feb-E'!G7)</f>
        <v>548171.91999999993</v>
      </c>
      <c r="I26" s="82">
        <f>'⚙️ Setup'!F15-('📅 Mar'!G7+'📅 Apr'!G7+'📅 May'!G7+'📅 Jun'!G7+'📅 Jul'!G7+'📅 Aug'!G7+'📅 Sep'!G7+'📅 Oct'!G7+'📅 Nov'!G7+'📅 Dec'!G7+'📅 Jan'!G7+'📅 Feb-E'!G7)</f>
        <v>387373.47000000003</v>
      </c>
      <c r="J26" s="79">
        <f>IFERROR(('📅 Mar'!G7+'📅 Apr'!G7+'📅 May'!G7+'📅 Jun'!G7+'📅 Jul'!G7+'📅 Aug'!G7+'📅 Sep'!G7+'📅 Oct'!G7+'📅 Nov'!G7+'📅 Dec'!G7+'📅 Jan'!G7+'📅 Feb-E'!G7)/IF('⚙️ Setup'!E15=0,1,'⚙️ Setup'!E15),0)</f>
        <v>7.6712326552149337E-2</v>
      </c>
      <c r="K26" s="79">
        <f>IFERROR(('📅 Mar'!G7+'📅 Apr'!G7+'📅 May'!G7+'📅 Jun'!G7+'📅 Jul'!G7+'📅 Aug'!G7+'📅 Sep'!G7+'📅 Oct'!G7+'📅 Nov'!G7+'📅 Dec'!G7+'📅 Jan'!G7+'📅 Feb-E'!G7)/IF('⚙️ Setup'!F15=0,1,'⚙️ Setup'!F15),0)</f>
        <v>0.10520547600935241</v>
      </c>
      <c r="L26" s="42" t="str">
        <f>IF(IFERROR(('📅 Mar'!G7+'📅 Apr'!G7+'📅 May'!G7+'📅 Jun'!G7+'📅 Jul'!G7+'📅 Aug'!G7+'📅 Sep'!G7+'📅 Oct'!G7+'📅 Nov'!G7+'📅 Dec'!G7+'📅 Jan'!G7+'📅 Feb-E'!G7)/IF('⚙️ Setup'!F15=0,1,'⚙️ Setup'!F15),0)&gt;=0.95,"⚠️ NEAR LIMIT",IF(IFERROR(('📅 Mar'!G7+'📅 Apr'!G7+'📅 May'!G7+'📅 Jun'!G7+'📅 Jul'!G7+'📅 Aug'!G7+'📅 Sep'!G7+'📅 Oct'!G7+'📅 Nov'!G7+'📅 Dec'!G7+'📅 Jan'!G7+'📅 Feb-E'!G7)/IF('⚙️ Setup'!F15=0,1,'⚙️ Setup'!F15),0)&gt;=0.8,"🟡 CAUTION","✅ ON TRACK"))</f>
        <v>✅ ON TRACK</v>
      </c>
      <c r="M26" s="83">
        <f>IFERROR('⚙️ Setup'!F15/IF('⚙️ Setup'!E15=0,1,'⚙️ Setup'!E15),0)</f>
        <v>0.72916666947383857</v>
      </c>
      <c r="N26" s="42" t="str">
        <f>IF(IFERROR(('📅 Mar'!G15+'📅 Apr'!G15+'📅 May'!G15+'📅 Jun'!G15+'📅 Jul'!G15+'📅 Aug'!G15+'📅 Sep'!G15+'📅 Oct'!G15+'📅 Nov'!G15+'📅 Dec'!G15+'📅 Jan'!G15+'📅 Feb-E'!G15)/IF('⚙️ Setup'!F15=0,1,'⚙️ Setup'!F15),0)&gt;=0.95,"⚠️ NEAR LIMIT",IF(IFERROR(('📅 Mar'!G15+'📅 Apr'!G15+'📅 May'!G15+'📅 Jun'!G15+'📅 Jul'!G15+'📅 Aug'!G15+'📅 Sep'!G15+'📅 Oct'!G15+'📅 Nov'!G15+'📅 Dec'!G15+'📅 Jan'!G15+'📅 Feb-E'!G15)/IF('⚙️ Setup'!F15=0,1,'⚙️ Setup'!F15),0)&gt;=0.8,"🟡 CAUTION","✅ ON TRACK"))</f>
        <v>✅ ON TRACK</v>
      </c>
      <c r="O26" s="75">
        <f>MAX(0,'⚙️ Setup'!E15-'⚙️ Setup'!F15)</f>
        <v>160798.44999999995</v>
      </c>
    </row>
    <row r="27" spans="2:16" ht="18" customHeight="1" x14ac:dyDescent="0.35">
      <c r="B27" s="46" t="str">
        <f>'⚙️ Setup'!B16</f>
        <v>1006</v>
      </c>
      <c r="C27" s="47" t="str">
        <f>'⚙️ Setup'!C16</f>
        <v>Software Maintenance</v>
      </c>
      <c r="D27" s="46" t="str">
        <f>'⚙️ Setup'!D16</f>
        <v>CPFF</v>
      </c>
      <c r="E27" s="84">
        <f>'⚙️ Setup'!E16</f>
        <v>727970.79</v>
      </c>
      <c r="F27" s="84">
        <f>'⚙️ Setup'!F16</f>
        <v>561144.15</v>
      </c>
      <c r="G27" s="84">
        <f>'📅 Mar'!G8+'📅 Apr'!G8+'📅 May'!G8+'📅 Jun'!G8+'📅 Jul'!G8+'📅 Aug'!G8+'📅 Sep'!G8+'📅 Oct'!G8+'📅 Nov'!G8+'📅 Dec'!G8+'📅 Jan'!G8+'📅 Feb-E'!G8</f>
        <v>139671.71</v>
      </c>
      <c r="H27" s="84">
        <f>'⚙️ Setup'!E16-('📅 Mar'!G8+'📅 Apr'!G8+'📅 May'!G8+'📅 Jun'!G8+'📅 Jul'!G8+'📅 Aug'!G8+'📅 Sep'!G8+'📅 Oct'!G8+'📅 Nov'!G8+'📅 Dec'!G8+'📅 Jan'!G8+'📅 Feb-E'!G8)</f>
        <v>588299.08000000007</v>
      </c>
      <c r="I27" s="84">
        <f>'⚙️ Setup'!F16-('📅 Mar'!G8+'📅 Apr'!G8+'📅 May'!G8+'📅 Jun'!G8+'📅 Jul'!G8+'📅 Aug'!G8+'📅 Sep'!G8+'📅 Oct'!G8+'📅 Nov'!G8+'📅 Dec'!G8+'📅 Jan'!G8+'📅 Feb-E'!G8)</f>
        <v>421472.44000000006</v>
      </c>
      <c r="J27" s="78">
        <f>IFERROR(('📅 Mar'!G8+'📅 Apr'!G8+'📅 May'!G8+'📅 Jun'!G8+'📅 Jul'!G8+'📅 Aug'!G8+'📅 Sep'!G8+'📅 Oct'!G8+'📅 Nov'!G8+'📅 Dec'!G8+'📅 Jan'!G8+'📅 Feb-E'!G8)/IF('⚙️ Setup'!E16=0,1,'⚙️ Setup'!E16),0)</f>
        <v>0.19186444280271189</v>
      </c>
      <c r="K27" s="78">
        <f>IFERROR(('📅 Mar'!G8+'📅 Apr'!G8+'📅 May'!G8+'📅 Jun'!G8+'📅 Jul'!G8+'📅 Aug'!G8+'📅 Sep'!G8+'📅 Oct'!G8+'📅 Nov'!G8+'📅 Dec'!G8+'📅 Jan'!G8+'📅 Feb-E'!G8)/IF('⚙️ Setup'!F16=0,1,'⚙️ Setup'!F16),0)</f>
        <v>0.24890522337263959</v>
      </c>
      <c r="L27" s="46" t="str">
        <f>IF(IFERROR(('📅 Mar'!G8+'📅 Apr'!G8+'📅 May'!G8+'📅 Jun'!G8+'📅 Jul'!G8+'📅 Aug'!G8+'📅 Sep'!G8+'📅 Oct'!G8+'📅 Nov'!G8+'📅 Dec'!G8+'📅 Jan'!G8+'📅 Feb-E'!G8)/IF('⚙️ Setup'!F16=0,1,'⚙️ Setup'!F16),0)&gt;=0.95,"⚠️ NEAR LIMIT",IF(IFERROR(('📅 Mar'!G8+'📅 Apr'!G8+'📅 May'!G8+'📅 Jun'!G8+'📅 Jul'!G8+'📅 Aug'!G8+'📅 Sep'!G8+'📅 Oct'!G8+'📅 Nov'!G8+'📅 Dec'!G8+'📅 Jan'!G8+'📅 Feb-E'!G8)/IF('⚙️ Setup'!F16=0,1,'⚙️ Setup'!F16),0)&gt;=0.8,"🟡 CAUTION","✅ ON TRACK"))</f>
        <v>✅ ON TRACK</v>
      </c>
      <c r="M27" s="85">
        <f>IFERROR('⚙️ Setup'!F16/IF('⚙️ Setup'!E16=0,1,'⚙️ Setup'!E16),0)</f>
        <v>0.77083333247478236</v>
      </c>
      <c r="N27" s="46" t="str">
        <f>IF(IFERROR(('📅 Mar'!G15+'📅 Apr'!G15+'📅 May'!G15+'📅 Jun'!G15+'📅 Jul'!G15+'📅 Aug'!G15+'📅 Sep'!G15+'📅 Oct'!G15+'📅 Nov'!G15+'📅 Dec'!G15+'📅 Jan'!G15+'📅 Feb-E'!G15)/IF('⚙️ Setup'!F16=0,1,'⚙️ Setup'!F16),0)&gt;=0.95,"⚠️ NEAR LIMIT",IF(IFERROR(('📅 Mar'!G15+'📅 Apr'!G15+'📅 May'!G15+'📅 Jun'!G15+'📅 Jul'!G15+'📅 Aug'!G15+'📅 Sep'!G15+'📅 Oct'!G15+'📅 Nov'!G15+'📅 Dec'!G15+'📅 Jan'!G15+'📅 Feb-E'!G15)/IF('⚙️ Setup'!F16=0,1,'⚙️ Setup'!F16),0)&gt;=0.8,"🟡 CAUTION","✅ ON TRACK"))</f>
        <v>✅ ON TRACK</v>
      </c>
      <c r="O27" s="76">
        <f>MAX(0,'⚙️ Setup'!E16-'⚙️ Setup'!F16)</f>
        <v>166826.64000000001</v>
      </c>
    </row>
    <row r="28" spans="2:16" ht="18" customHeight="1" x14ac:dyDescent="0.35">
      <c r="B28" s="42" t="str">
        <f>'⚙️ Setup'!B17</f>
        <v>1007</v>
      </c>
      <c r="C28" s="43" t="str">
        <f>'⚙️ Setup'!C17</f>
        <v>Software Development</v>
      </c>
      <c r="D28" s="42" t="str">
        <f>'⚙️ Setup'!D17</f>
        <v>CPFF</v>
      </c>
      <c r="E28" s="82">
        <f>'⚙️ Setup'!E17</f>
        <v>869923.61</v>
      </c>
      <c r="F28" s="82">
        <f>'⚙️ Setup'!F17</f>
        <v>670566.12</v>
      </c>
      <c r="G28" s="82">
        <f>'📅 Mar'!G9+'📅 Apr'!G9+'📅 May'!G9+'📅 Jun'!G9+'📅 Jul'!G9+'📅 Aug'!G9+'📅 Sep'!G9+'📅 Oct'!G9+'📅 Nov'!G9+'📅 Dec'!G9+'📅 Jan'!G9+'📅 Feb-E'!G9</f>
        <v>90434.31</v>
      </c>
      <c r="H28" s="82">
        <f>'⚙️ Setup'!E17-('📅 Mar'!G9+'📅 Apr'!G9+'📅 May'!G9+'📅 Jun'!G9+'📅 Jul'!G9+'📅 Aug'!G9+'📅 Sep'!G9+'📅 Oct'!G9+'📅 Nov'!G9+'📅 Dec'!G9+'📅 Jan'!G9+'📅 Feb-E'!G9)</f>
        <v>779489.3</v>
      </c>
      <c r="I28" s="82">
        <f>'⚙️ Setup'!F17-('📅 Mar'!G9+'📅 Apr'!G9+'📅 May'!G9+'📅 Jun'!G9+'📅 Jul'!G9+'📅 Aug'!G9+'📅 Sep'!G9+'📅 Oct'!G9+'📅 Nov'!G9+'📅 Dec'!G9+'📅 Jan'!G9+'📅 Feb-E'!G9)</f>
        <v>580131.81000000006</v>
      </c>
      <c r="J28" s="79">
        <f>IFERROR(('📅 Mar'!G9+'📅 Apr'!G9+'📅 May'!G9+'📅 Jun'!G9+'📅 Jul'!G9+'📅 Aug'!G9+'📅 Sep'!G9+'📅 Oct'!G9+'📅 Nov'!G9+'📅 Dec'!G9+'📅 Jan'!G9+'📅 Feb-E'!G9)/IF('⚙️ Setup'!E17=0,1,'⚙️ Setup'!E17),0)</f>
        <v>0.10395661062699517</v>
      </c>
      <c r="K28" s="79">
        <f>IFERROR(('📅 Mar'!G9+'📅 Apr'!G9+'📅 May'!G9+'📅 Jun'!G9+'📅 Jul'!G9+'📅 Aug'!G9+'📅 Sep'!G9+'📅 Oct'!G9+'📅 Nov'!G9+'📅 Dec'!G9+'📅 Jan'!G9+'📅 Feb-E'!G9)/IF('⚙️ Setup'!F17=0,1,'⚙️ Setup'!F17),0)</f>
        <v>0.13486262920649794</v>
      </c>
      <c r="L28" s="42" t="str">
        <f>IF(IFERROR(('📅 Mar'!G9+'📅 Apr'!G9+'📅 May'!G9+'📅 Jun'!G9+'📅 Jul'!G9+'📅 Aug'!G9+'📅 Sep'!G9+'📅 Oct'!G9+'📅 Nov'!G9+'📅 Dec'!G9+'📅 Jan'!G9+'📅 Feb-E'!G9)/IF('⚙️ Setup'!F17=0,1,'⚙️ Setup'!F17),0)&gt;=0.95,"⚠️ NEAR LIMIT",IF(IFERROR(('📅 Mar'!G9+'📅 Apr'!G9+'📅 May'!G9+'📅 Jun'!G9+'📅 Jul'!G9+'📅 Aug'!G9+'📅 Sep'!G9+'📅 Oct'!G9+'📅 Nov'!G9+'📅 Dec'!G9+'📅 Jan'!G9+'📅 Feb-E'!G9)/IF('⚙️ Setup'!F17=0,1,'⚙️ Setup'!F17),0)&gt;=0.8,"🟡 CAUTION","✅ ON TRACK"))</f>
        <v>✅ ON TRACK</v>
      </c>
      <c r="M28" s="83">
        <f>IFERROR('⚙️ Setup'!F17/IF('⚙️ Setup'!E17=0,1,'⚙️ Setup'!E17),0)</f>
        <v>0.77083333788354125</v>
      </c>
      <c r="N28" s="42" t="str">
        <f>IF(IFERROR(('📅 Mar'!G15+'📅 Apr'!G15+'📅 May'!G15+'📅 Jun'!G15+'📅 Jul'!G15+'📅 Aug'!G15+'📅 Sep'!G15+'📅 Oct'!G15+'📅 Nov'!G15+'📅 Dec'!G15+'📅 Jan'!G15+'📅 Feb-E'!G15)/IF('⚙️ Setup'!F17=0,1,'⚙️ Setup'!F17),0)&gt;=0.95,"⚠️ NEAR LIMIT",IF(IFERROR(('📅 Mar'!G15+'📅 Apr'!G15+'📅 May'!G15+'📅 Jun'!G15+'📅 Jul'!G15+'📅 Aug'!G15+'📅 Sep'!G15+'📅 Oct'!G15+'📅 Nov'!G15+'📅 Dec'!G15+'📅 Jan'!G15+'📅 Feb-E'!G15)/IF('⚙️ Setup'!F17=0,1,'⚙️ Setup'!F17),0)&gt;=0.8,"🟡 CAUTION","✅ ON TRACK"))</f>
        <v>✅ ON TRACK</v>
      </c>
      <c r="O28" s="75">
        <f>MAX(0,'⚙️ Setup'!E17-'⚙️ Setup'!F17)</f>
        <v>199357.49</v>
      </c>
    </row>
    <row r="29" spans="2:16" ht="18" customHeight="1" x14ac:dyDescent="0.35">
      <c r="B29" s="46" t="str">
        <f>'⚙️ Setup'!B18</f>
        <v>1008</v>
      </c>
      <c r="C29" s="47" t="str">
        <f>'⚙️ Setup'!C18</f>
        <v>O&amp;M</v>
      </c>
      <c r="D29" s="46" t="str">
        <f>'⚙️ Setup'!D18</f>
        <v>CPFF</v>
      </c>
      <c r="E29" s="84">
        <f>'⚙️ Setup'!E18</f>
        <v>688014.82</v>
      </c>
      <c r="F29" s="84">
        <f>'⚙️ Setup'!F18</f>
        <v>501677.47000000003</v>
      </c>
      <c r="G29" s="84">
        <f>'📅 Mar'!G10+'📅 Apr'!G10+'📅 May'!G10+'📅 Jun'!G10+'📅 Jul'!G10+'📅 Aug'!G10+'📅 Sep'!G10+'📅 Oct'!G10+'📅 Nov'!G10+'📅 Dec'!G10+'📅 Jan'!G10+'📅 Feb-E'!G10</f>
        <v>18521.330000000002</v>
      </c>
      <c r="H29" s="84">
        <f>'⚙️ Setup'!E18-('📅 Mar'!G10+'📅 Apr'!G10+'📅 May'!G10+'📅 Jun'!G10+'📅 Jul'!G10+'📅 Aug'!G10+'📅 Sep'!G10+'📅 Oct'!G10+'📅 Nov'!G10+'📅 Dec'!G10+'📅 Jan'!G10+'📅 Feb-E'!G10)</f>
        <v>669493.49</v>
      </c>
      <c r="I29" s="84">
        <f>'⚙️ Setup'!F18-('📅 Mar'!G10+'📅 Apr'!G10+'📅 May'!G10+'📅 Jun'!G10+'📅 Jul'!G10+'📅 Aug'!G10+'📅 Sep'!G10+'📅 Oct'!G10+'📅 Nov'!G10+'📅 Dec'!G10+'📅 Jan'!G10+'📅 Feb-E'!G10)</f>
        <v>483156.14</v>
      </c>
      <c r="J29" s="78">
        <f>IFERROR(('📅 Mar'!G10+'📅 Apr'!G10+'📅 May'!G10+'📅 Jun'!G10+'📅 Jul'!G10+'📅 Aug'!G10+'📅 Sep'!G10+'📅 Oct'!G10+'📅 Nov'!G10+'📅 Dec'!G10+'📅 Jan'!G10+'📅 Feb-E'!G10)/IF('⚙️ Setup'!E18=0,1,'⚙️ Setup'!E18),0)</f>
        <v>2.6919957916022801E-2</v>
      </c>
      <c r="K29" s="78">
        <f>IFERROR(('📅 Mar'!G10+'📅 Apr'!G10+'📅 May'!G10+'📅 Jun'!G10+'📅 Jul'!G10+'📅 Aug'!G10+'📅 Sep'!G10+'📅 Oct'!G10+'📅 Nov'!G10+'📅 Dec'!G10+'📅 Jan'!G10+'📅 Feb-E'!G10)/IF('⚙️ Setup'!F18=0,1,'⚙️ Setup'!F18),0)</f>
        <v>3.6918799642327971E-2</v>
      </c>
      <c r="L29" s="46" t="str">
        <f>IF(IFERROR(('📅 Mar'!G10+'📅 Apr'!G10+'📅 May'!G10+'📅 Jun'!G10+'📅 Jul'!G10+'📅 Aug'!G10+'📅 Sep'!G10+'📅 Oct'!G10+'📅 Nov'!G10+'📅 Dec'!G10+'📅 Jan'!G10+'📅 Feb-E'!G10)/IF('⚙️ Setup'!F18=0,1,'⚙️ Setup'!F18),0)&gt;=0.95,"⚠️ NEAR LIMIT",IF(IFERROR(('📅 Mar'!G10+'📅 Apr'!G10+'📅 May'!G10+'📅 Jun'!G10+'📅 Jul'!G10+'📅 Aug'!G10+'📅 Sep'!G10+'📅 Oct'!G10+'📅 Nov'!G10+'📅 Dec'!G10+'📅 Jan'!G10+'📅 Feb-E'!G10)/IF('⚙️ Setup'!F18=0,1,'⚙️ Setup'!F18),0)&gt;=0.8,"🟡 CAUTION","✅ ON TRACK"))</f>
        <v>✅ ON TRACK</v>
      </c>
      <c r="M29" s="85">
        <f>IFERROR('⚙️ Setup'!F18/IF('⚙️ Setup'!E18=0,1,'⚙️ Setup'!E18),0)</f>
        <v>0.72916666242741701</v>
      </c>
      <c r="N29" s="46" t="str">
        <f>IF(IFERROR(('📅 Mar'!G15+'📅 Apr'!G15+'📅 May'!G15+'📅 Jun'!G15+'📅 Jul'!G15+'📅 Aug'!G15+'📅 Sep'!G15+'📅 Oct'!G15+'📅 Nov'!G15+'📅 Dec'!G15+'📅 Jan'!G15+'📅 Feb-E'!G15)/IF('⚙️ Setup'!F18=0,1,'⚙️ Setup'!F18),0)&gt;=0.95,"⚠️ NEAR LIMIT",IF(IFERROR(('📅 Mar'!G15+'📅 Apr'!G15+'📅 May'!G15+'📅 Jun'!G15+'📅 Jul'!G15+'📅 Aug'!G15+'📅 Sep'!G15+'📅 Oct'!G15+'📅 Nov'!G15+'📅 Dec'!G15+'📅 Jan'!G15+'📅 Feb-E'!G15)/IF('⚙️ Setup'!F18=0,1,'⚙️ Setup'!F18),0)&gt;=0.8,"🟡 CAUTION","✅ ON TRACK"))</f>
        <v>✅ ON TRACK</v>
      </c>
      <c r="O29" s="76">
        <f>MAX(0,'⚙️ Setup'!E18-'⚙️ Setup'!F18)</f>
        <v>186337.34999999992</v>
      </c>
    </row>
    <row r="30" spans="2:16" ht="18" customHeight="1" x14ac:dyDescent="0.35">
      <c r="B30" s="42" t="str">
        <f>'⚙️ Setup'!B19</f>
        <v>1009</v>
      </c>
      <c r="C30" s="43" t="str">
        <f>'⚙️ Setup'!C19</f>
        <v>Tier 3 Helpdesk</v>
      </c>
      <c r="D30" s="42" t="str">
        <f>'⚙️ Setup'!D19</f>
        <v>FFP</v>
      </c>
      <c r="E30" s="82">
        <f>'⚙️ Setup'!E19</f>
        <v>33772.5</v>
      </c>
      <c r="F30" s="82">
        <f>'⚙️ Setup'!F19</f>
        <v>24625.78</v>
      </c>
      <c r="G30" s="82">
        <f>'📅 Mar'!G11+'📅 Apr'!G11+'📅 May'!G11+'📅 Jun'!G11+'📅 Jul'!G11+'📅 Aug'!G11+'📅 Sep'!G11+'📅 Oct'!G11+'📅 Nov'!G11+'📅 Dec'!G11+'📅 Jan'!G11+'📅 Feb-E'!G11</f>
        <v>2590.77</v>
      </c>
      <c r="H30" s="82">
        <f>'⚙️ Setup'!E19-('📅 Mar'!G11+'📅 Apr'!G11+'📅 May'!G11+'📅 Jun'!G11+'📅 Jul'!G11+'📅 Aug'!G11+'📅 Sep'!G11+'📅 Oct'!G11+'📅 Nov'!G11+'📅 Dec'!G11+'📅 Jan'!G11+'📅 Feb-E'!G11)</f>
        <v>31181.73</v>
      </c>
      <c r="I30" s="82">
        <f>'⚙️ Setup'!F19-('📅 Mar'!G11+'📅 Apr'!G11+'📅 May'!G11+'📅 Jun'!G11+'📅 Jul'!G11+'📅 Aug'!G11+'📅 Sep'!G11+'📅 Oct'!G11+'📅 Nov'!G11+'📅 Dec'!G11+'📅 Jan'!G11+'📅 Feb-E'!G11)</f>
        <v>22035.01</v>
      </c>
      <c r="J30" s="79">
        <f>IFERROR(('📅 Mar'!G11+'📅 Apr'!G11+'📅 May'!G11+'📅 Jun'!G11+'📅 Jul'!G11+'📅 Aug'!G11+'📅 Sep'!G11+'📅 Oct'!G11+'📅 Nov'!G11+'📅 Dec'!G11+'📅 Jan'!G11+'📅 Feb-E'!G11)/IF('⚙️ Setup'!E19=0,1,'⚙️ Setup'!E19),0)</f>
        <v>7.6712413946258051E-2</v>
      </c>
      <c r="K30" s="79">
        <f>IFERROR(('📅 Mar'!G11+'📅 Apr'!G11+'📅 May'!G11+'📅 Jun'!G11+'📅 Jul'!G11+'📅 Aug'!G11+'📅 Sep'!G11+'📅 Oct'!G11+'📅 Nov'!G11+'📅 Dec'!G11+'📅 Jan'!G11+'📅 Feb-E'!G11)/IF('⚙️ Setup'!F19=0,1,'⚙️ Setup'!F19),0)</f>
        <v>0.10520560160937034</v>
      </c>
      <c r="L30" s="42" t="str">
        <f>IF(IFERROR(('📅 Mar'!G11+'📅 Apr'!G11+'📅 May'!G11+'📅 Jun'!G11+'📅 Jul'!G11+'📅 Aug'!G11+'📅 Sep'!G11+'📅 Oct'!G11+'📅 Nov'!G11+'📅 Dec'!G11+'📅 Jan'!G11+'📅 Feb-E'!G11)/IF('⚙️ Setup'!F19=0,1,'⚙️ Setup'!F19),0)&gt;=0.95,"⚠️ NEAR LIMIT",IF(IFERROR(('📅 Mar'!G11+'📅 Apr'!G11+'📅 May'!G11+'📅 Jun'!G11+'📅 Jul'!G11+'📅 Aug'!G11+'📅 Sep'!G11+'📅 Oct'!G11+'📅 Nov'!G11+'📅 Dec'!G11+'📅 Jan'!G11+'📅 Feb-E'!G11)/IF('⚙️ Setup'!F19=0,1,'⚙️ Setup'!F19),0)&gt;=0.8,"🟡 CAUTION","✅ ON TRACK"))</f>
        <v>✅ ON TRACK</v>
      </c>
      <c r="M30" s="83">
        <f>IFERROR('⚙️ Setup'!F19/IF('⚙️ Setup'!E19=0,1,'⚙️ Setup'!E19),0)</f>
        <v>0.72916662965430445</v>
      </c>
      <c r="N30" s="42" t="str">
        <f>IF(IFERROR(('📅 Mar'!G15+'📅 Apr'!G15+'📅 May'!G15+'📅 Jun'!G15+'📅 Jul'!G15+'📅 Aug'!G15+'📅 Sep'!G15+'📅 Oct'!G15+'📅 Nov'!G15+'📅 Dec'!G15+'📅 Jan'!G15+'📅 Feb-E'!G15)/IF('⚙️ Setup'!F19=0,1,'⚙️ Setup'!F19),0)&gt;=0.95,"⚠️ NEAR LIMIT",IF(IFERROR(('📅 Mar'!G15+'📅 Apr'!G15+'📅 May'!G15+'📅 Jun'!G15+'📅 Jul'!G15+'📅 Aug'!G15+'📅 Sep'!G15+'📅 Oct'!G15+'📅 Nov'!G15+'📅 Dec'!G15+'📅 Jan'!G15+'📅 Feb-E'!G15)/IF('⚙️ Setup'!F19=0,1,'⚙️ Setup'!F19),0)&gt;=0.8,"🟡 CAUTION","✅ ON TRACK"))</f>
        <v>✅ ON TRACK</v>
      </c>
      <c r="O30" s="75">
        <f>MAX(0,'⚙️ Setup'!E19-'⚙️ Setup'!F19)</f>
        <v>9146.7200000000012</v>
      </c>
    </row>
    <row r="31" spans="2:16" ht="18" customHeight="1" x14ac:dyDescent="0.35">
      <c r="B31" s="46" t="str">
        <f>'⚙️ Setup'!B20</f>
        <v>1010</v>
      </c>
      <c r="C31" s="47" t="str">
        <f>'⚙️ Setup'!C20</f>
        <v>Training</v>
      </c>
      <c r="D31" s="46" t="str">
        <f>'⚙️ Setup'!D20</f>
        <v>FFP</v>
      </c>
      <c r="E31" s="84">
        <f>'⚙️ Setup'!E20</f>
        <v>199225.60000000001</v>
      </c>
      <c r="F31" s="84">
        <f>'⚙️ Setup'!F20</f>
        <v>145268.66999999998</v>
      </c>
      <c r="G31" s="84">
        <f>'📅 Mar'!G12+'📅 Apr'!G12+'📅 May'!G12+'📅 Jun'!G12+'📅 Jul'!G12+'📅 Aug'!G12+'📅 Sep'!G12+'📅 Oct'!G12+'📅 Nov'!G12+'📅 Dec'!G12+'📅 Jan'!G12+'📅 Feb-E'!G12</f>
        <v>15283.06</v>
      </c>
      <c r="H31" s="84">
        <f>'⚙️ Setup'!E20-('📅 Mar'!G12+'📅 Apr'!G12+'📅 May'!G12+'📅 Jun'!G12+'📅 Jul'!G12+'📅 Aug'!G12+'📅 Sep'!G12+'📅 Oct'!G12+'📅 Nov'!G12+'📅 Dec'!G12+'📅 Jan'!G12+'📅 Feb-E'!G12)</f>
        <v>183942.54</v>
      </c>
      <c r="I31" s="84">
        <f>'⚙️ Setup'!F20-('📅 Mar'!G12+'📅 Apr'!G12+'📅 May'!G12+'📅 Jun'!G12+'📅 Jul'!G12+'📅 Aug'!G12+'📅 Sep'!G12+'📅 Oct'!G12+'📅 Nov'!G12+'📅 Dec'!G12+'📅 Jan'!G12+'📅 Feb-E'!G12)</f>
        <v>129985.60999999999</v>
      </c>
      <c r="J31" s="78">
        <f>IFERROR(('📅 Mar'!G12+'📅 Apr'!G12+'📅 May'!G12+'📅 Jun'!G12+'📅 Jul'!G12+'📅 Aug'!G12+'📅 Sep'!G12+'📅 Oct'!G12+'📅 Nov'!G12+'📅 Dec'!G12+'📅 Jan'!G12+'📅 Feb-E'!G12)/IF('⚙️ Setup'!E20=0,1,'⚙️ Setup'!E20),0)</f>
        <v>7.6712330142311019E-2</v>
      </c>
      <c r="K31" s="78">
        <f>IFERROR(('📅 Mar'!G12+'📅 Apr'!G12+'📅 May'!G12+'📅 Jun'!G12+'📅 Jul'!G12+'📅 Aug'!G12+'📅 Sep'!G12+'📅 Oct'!G12+'📅 Nov'!G12+'📅 Dec'!G12+'📅 Jan'!G12+'📅 Feb-E'!G12)/IF('⚙️ Setup'!F20=0,1,'⚙️ Setup'!F20),0)</f>
        <v>0.10520547892398273</v>
      </c>
      <c r="L31" s="46" t="str">
        <f>IF(IFERROR(('📅 Mar'!G12+'📅 Apr'!G12+'📅 May'!G12+'📅 Jun'!G12+'📅 Jul'!G12+'📅 Aug'!G12+'📅 Sep'!G12+'📅 Oct'!G12+'📅 Nov'!G12+'📅 Dec'!G12+'📅 Jan'!G12+'📅 Feb-E'!G12)/IF('⚙️ Setup'!F20=0,1,'⚙️ Setup'!F20),0)&gt;=0.95,"⚠️ NEAR LIMIT",IF(IFERROR(('📅 Mar'!G12+'📅 Apr'!G12+'📅 May'!G12+'📅 Jun'!G12+'📅 Jul'!G12+'📅 Aug'!G12+'📅 Sep'!G12+'📅 Oct'!G12+'📅 Nov'!G12+'📅 Dec'!G12+'📅 Jan'!G12+'📅 Feb-E'!G12)/IF('⚙️ Setup'!F20=0,1,'⚙️ Setup'!F20),0)&gt;=0.8,"🟡 CAUTION","✅ ON TRACK"))</f>
        <v>✅ ON TRACK</v>
      </c>
      <c r="M31" s="85">
        <f>IFERROR('⚙️ Setup'!F20/IF('⚙️ Setup'!E20=0,1,'⚙️ Setup'!E20),0)</f>
        <v>0.72916668339811741</v>
      </c>
      <c r="N31" s="46" t="str">
        <f>IF(IFERROR(('📅 Mar'!G15+'📅 Apr'!G15+'📅 May'!G15+'📅 Jun'!G15+'📅 Jul'!G15+'📅 Aug'!G15+'📅 Sep'!G15+'📅 Oct'!G15+'📅 Nov'!G15+'📅 Dec'!G15+'📅 Jan'!G15+'📅 Feb-E'!G15)/IF('⚙️ Setup'!F20=0,1,'⚙️ Setup'!F20),0)&gt;=0.95,"⚠️ NEAR LIMIT",IF(IFERROR(('📅 Mar'!G15+'📅 Apr'!G15+'📅 May'!G15+'📅 Jun'!G15+'📅 Jul'!G15+'📅 Aug'!G15+'📅 Sep'!G15+'📅 Oct'!G15+'📅 Nov'!G15+'📅 Dec'!G15+'📅 Jan'!G15+'📅 Feb-E'!G15)/IF('⚙️ Setup'!F20=0,1,'⚙️ Setup'!F20),0)&gt;=0.8,"🟡 CAUTION","✅ ON TRACK"))</f>
        <v>✅ ON TRACK</v>
      </c>
      <c r="O31" s="76">
        <f>MAX(0,'⚙️ Setup'!E20-'⚙️ Setup'!F20)</f>
        <v>53956.930000000022</v>
      </c>
    </row>
    <row r="32" spans="2:16" ht="18" customHeight="1" x14ac:dyDescent="0.35">
      <c r="B32" s="42" t="str">
        <f>'⚙️ Setup'!B21</f>
        <v>1016</v>
      </c>
      <c r="C32" s="43" t="str">
        <f>'⚙️ Setup'!C21</f>
        <v>NTIA</v>
      </c>
      <c r="D32" s="42" t="str">
        <f>'⚙️ Setup'!D21</f>
        <v>FFP</v>
      </c>
      <c r="E32" s="82">
        <f>'⚙️ Setup'!E21</f>
        <v>268485.99</v>
      </c>
      <c r="F32" s="82">
        <f>'⚙️ Setup'!F21</f>
        <v>268485.99</v>
      </c>
      <c r="G32" s="82">
        <f>'📅 Mar'!G13+'📅 Apr'!G13+'📅 May'!G13+'📅 Jun'!G13+'📅 Jul'!G13+'📅 Aug'!G13+'📅 Sep'!G13+'📅 Oct'!G13+'📅 Nov'!G13+'📅 Dec'!G13+'📅 Jan'!G13+'📅 Feb-E'!G13</f>
        <v>20596.189999999999</v>
      </c>
      <c r="H32" s="82">
        <f>'⚙️ Setup'!E21-('📅 Mar'!G13+'📅 Apr'!G13+'📅 May'!G13+'📅 Jun'!G13+'📅 Jul'!G13+'📅 Aug'!G13+'📅 Sep'!G13+'📅 Oct'!G13+'📅 Nov'!G13+'📅 Dec'!G13+'📅 Jan'!G13+'📅 Feb-E'!G13)</f>
        <v>247889.8</v>
      </c>
      <c r="I32" s="82">
        <f>'⚙️ Setup'!F21-('📅 Mar'!G13+'📅 Apr'!G13+'📅 May'!G13+'📅 Jun'!G13+'📅 Jul'!G13+'📅 Aug'!G13+'📅 Sep'!G13+'📅 Oct'!G13+'📅 Nov'!G13+'📅 Dec'!G13+'📅 Jan'!G13+'📅 Feb-E'!G13)</f>
        <v>247889.8</v>
      </c>
      <c r="J32" s="79">
        <f>IFERROR(('📅 Mar'!G13+'📅 Apr'!G13+'📅 May'!G13+'📅 Jun'!G13+'📅 Jul'!G13+'📅 Aug'!G13+'📅 Sep'!G13+'📅 Oct'!G13+'📅 Nov'!G13+'📅 Dec'!G13+'📅 Jan'!G13+'📅 Feb-E'!G13)/IF('⚙️ Setup'!E21=0,1,'⚙️ Setup'!E21),0)</f>
        <v>7.6712345400219956E-2</v>
      </c>
      <c r="K32" s="79">
        <f>IFERROR(('📅 Mar'!G13+'📅 Apr'!G13+'📅 May'!G13+'📅 Jun'!G13+'📅 Jul'!G13+'📅 Aug'!G13+'📅 Sep'!G13+'📅 Oct'!G13+'📅 Nov'!G13+'📅 Dec'!G13+'📅 Jan'!G13+'📅 Feb-E'!G13)/IF('⚙️ Setup'!F21=0,1,'⚙️ Setup'!F21),0)</f>
        <v>7.6712345400219956E-2</v>
      </c>
      <c r="L32" s="42" t="str">
        <f>IF(IFERROR(('📅 Mar'!G13+'📅 Apr'!G13+'📅 May'!G13+'📅 Jun'!G13+'📅 Jul'!G13+'📅 Aug'!G13+'📅 Sep'!G13+'📅 Oct'!G13+'📅 Nov'!G13+'📅 Dec'!G13+'📅 Jan'!G13+'📅 Feb-E'!G13)/IF('⚙️ Setup'!F21=0,1,'⚙️ Setup'!F21),0)&gt;=0.95,"⚠️ NEAR LIMIT",IF(IFERROR(('📅 Mar'!G13+'📅 Apr'!G13+'📅 May'!G13+'📅 Jun'!G13+'📅 Jul'!G13+'📅 Aug'!G13+'📅 Sep'!G13+'📅 Oct'!G13+'📅 Nov'!G13+'📅 Dec'!G13+'📅 Jan'!G13+'📅 Feb-E'!G13)/IF('⚙️ Setup'!F21=0,1,'⚙️ Setup'!F21),0)&gt;=0.8,"🟡 CAUTION","✅ ON TRACK"))</f>
        <v>✅ ON TRACK</v>
      </c>
      <c r="M32" s="83">
        <f>IFERROR('⚙️ Setup'!F21/IF('⚙️ Setup'!E21=0,1,'⚙️ Setup'!E21),0)</f>
        <v>1</v>
      </c>
      <c r="N32" s="42" t="str">
        <f>IF(IFERROR(('📅 Mar'!G15+'📅 Apr'!G15+'📅 May'!G15+'📅 Jun'!G15+'📅 Jul'!G15+'📅 Aug'!G15+'📅 Sep'!G15+'📅 Oct'!G15+'📅 Nov'!G15+'📅 Dec'!G15+'📅 Jan'!G15+'📅 Feb-E'!G15)/IF('⚙️ Setup'!F21=0,1,'⚙️ Setup'!F21),0)&gt;=0.95,"⚠️ NEAR LIMIT",IF(IFERROR(('📅 Mar'!G15+'📅 Apr'!G15+'📅 May'!G15+'📅 Jun'!G15+'📅 Jul'!G15+'📅 Aug'!G15+'📅 Sep'!G15+'📅 Oct'!G15+'📅 Nov'!G15+'📅 Dec'!G15+'📅 Jan'!G15+'📅 Feb-E'!G15)/IF('⚙️ Setup'!F21=0,1,'⚙️ Setup'!F21),0)&gt;=0.8,"🟡 CAUTION","✅ ON TRACK"))</f>
        <v>✅ ON TRACK</v>
      </c>
      <c r="O32" s="75">
        <f>MAX(0,'⚙️ Setup'!E21-'⚙️ Setup'!F21)</f>
        <v>0</v>
      </c>
    </row>
    <row r="33" spans="2:15" ht="18" customHeight="1" x14ac:dyDescent="0.35">
      <c r="B33" s="46" t="str">
        <f>'⚙️ Setup'!B22</f>
        <v>1017</v>
      </c>
      <c r="C33" s="47" t="str">
        <f>'⚙️ Setup'!C22</f>
        <v>Other Direct Costs</v>
      </c>
      <c r="D33" s="46" t="str">
        <f>'⚙️ Setup'!D22</f>
        <v>COST</v>
      </c>
      <c r="E33" s="84">
        <f>'⚙️ Setup'!E22</f>
        <v>132000</v>
      </c>
      <c r="F33" s="84">
        <f>'⚙️ Setup'!F22</f>
        <v>60486.239999999998</v>
      </c>
      <c r="G33" s="84">
        <f>'📅 Mar'!G14+'📅 Apr'!G14+'📅 May'!G14+'📅 Jun'!G14+'📅 Jul'!G14+'📅 Aug'!G14+'📅 Sep'!G14+'📅 Oct'!G14+'📅 Nov'!G14+'📅 Dec'!G14+'📅 Jan'!G14+'📅 Feb-E'!G14</f>
        <v>13845.75</v>
      </c>
      <c r="H33" s="84">
        <f>'⚙️ Setup'!E22-('📅 Mar'!G14+'📅 Apr'!G14+'📅 May'!G14+'📅 Jun'!G14+'📅 Jul'!G14+'📅 Aug'!G14+'📅 Sep'!G14+'📅 Oct'!G14+'📅 Nov'!G14+'📅 Dec'!G14+'📅 Jan'!G14+'📅 Feb-E'!G14)</f>
        <v>118154.25</v>
      </c>
      <c r="I33" s="84">
        <f>'⚙️ Setup'!F22-('📅 Mar'!G14+'📅 Apr'!G14+'📅 May'!G14+'📅 Jun'!G14+'📅 Jul'!G14+'📅 Aug'!G14+'📅 Sep'!G14+'📅 Oct'!G14+'📅 Nov'!G14+'📅 Dec'!G14+'📅 Jan'!G14+'📅 Feb-E'!G14)</f>
        <v>46640.49</v>
      </c>
      <c r="J33" s="78">
        <f>IFERROR(('📅 Mar'!G14+'📅 Apr'!G14+'📅 May'!G14+'📅 Jun'!G14+'📅 Jul'!G14+'📅 Aug'!G14+'📅 Sep'!G14+'📅 Oct'!G14+'📅 Nov'!G14+'📅 Dec'!G14+'📅 Jan'!G14+'📅 Feb-E'!G14)/IF('⚙️ Setup'!E22=0,1,'⚙️ Setup'!E22),0)</f>
        <v>0.10489204545454546</v>
      </c>
      <c r="K33" s="78">
        <f>IFERROR(('📅 Mar'!G14+'📅 Apr'!G14+'📅 May'!G14+'📅 Jun'!G14+'📅 Jul'!G14+'📅 Aug'!G14+'📅 Sep'!G14+'📅 Oct'!G14+'📅 Nov'!G14+'📅 Dec'!G14+'📅 Jan'!G14+'📅 Feb-E'!G14)/IF('⚙️ Setup'!F22=0,1,'⚙️ Setup'!F22),0)</f>
        <v>0.22890743415361908</v>
      </c>
      <c r="L33" s="46" t="str">
        <f>IF(IFERROR(('📅 Mar'!G14+'📅 Apr'!G14+'📅 May'!G14+'📅 Jun'!G14+'📅 Jul'!G14+'📅 Aug'!G14+'📅 Sep'!G14+'📅 Oct'!G14+'📅 Nov'!G14+'📅 Dec'!G14+'📅 Jan'!G14+'📅 Feb-E'!G14)/IF('⚙️ Setup'!F22=0,1,'⚙️ Setup'!F22),0)&gt;=0.95,"⚠️ NEAR LIMIT",IF(IFERROR(('📅 Mar'!G14+'📅 Apr'!G14+'📅 May'!G14+'📅 Jun'!G14+'📅 Jul'!G14+'📅 Aug'!G14+'📅 Sep'!G14+'📅 Oct'!G14+'📅 Nov'!G14+'📅 Dec'!G14+'📅 Jan'!G14+'📅 Feb-E'!G14)/IF('⚙️ Setup'!F22=0,1,'⚙️ Setup'!F22),0)&gt;=0.8,"🟡 CAUTION","✅ ON TRACK"))</f>
        <v>✅ ON TRACK</v>
      </c>
      <c r="M33" s="85">
        <f>IFERROR('⚙️ Setup'!F22/IF('⚙️ Setup'!E22=0,1,'⚙️ Setup'!E22),0)</f>
        <v>0.45822909090909092</v>
      </c>
      <c r="N33" s="46" t="str">
        <f>IF(IFERROR(('📅 Mar'!G15+'📅 Apr'!G15+'📅 May'!G15+'📅 Jun'!G15+'📅 Jul'!G15+'📅 Aug'!G15+'📅 Sep'!G15+'📅 Oct'!G15+'📅 Nov'!G15+'📅 Dec'!G15+'📅 Jan'!G15+'📅 Feb-E'!G15)/IF('⚙️ Setup'!F22=0,1,'⚙️ Setup'!F22),0)&gt;=0.95,"⚠️ NEAR LIMIT",IF(IFERROR(('📅 Mar'!G15+'📅 Apr'!G15+'📅 May'!G15+'📅 Jun'!G15+'📅 Jul'!G15+'📅 Aug'!G15+'📅 Sep'!G15+'📅 Oct'!G15+'📅 Nov'!G15+'📅 Dec'!G15+'📅 Jan'!G15+'📅 Feb-E'!G15)/IF('⚙️ Setup'!F22=0,1,'⚙️ Setup'!F22),0)&gt;=0.8,"🟡 CAUTION","✅ ON TRACK"))</f>
        <v>✅ ON TRACK</v>
      </c>
      <c r="O33" s="76">
        <f>MAX(0,'⚙️ Setup'!E22-'⚙️ Setup'!F22)</f>
        <v>71513.760000000009</v>
      </c>
    </row>
    <row r="34" spans="2:15" ht="18" customHeight="1" x14ac:dyDescent="0.35">
      <c r="B34" s="42" t="str">
        <f>'⚙️ Setup'!B23</f>
        <v>1018</v>
      </c>
      <c r="C34" s="43" t="str">
        <f>'⚙️ Setup'!C23</f>
        <v>Travel</v>
      </c>
      <c r="D34" s="42" t="str">
        <f>'⚙️ Setup'!D23</f>
        <v>COST</v>
      </c>
      <c r="E34" s="82">
        <f>'⚙️ Setup'!E23</f>
        <v>10144</v>
      </c>
      <c r="F34" s="82">
        <f>'⚙️ Setup'!F23</f>
        <v>4999.99</v>
      </c>
      <c r="G34" s="82">
        <f>'📅 Mar'!G15+'📅 Apr'!G15+'📅 May'!G15+'📅 Jun'!G15+'📅 Jul'!G15+'📅 Aug'!G15+'📅 Sep'!G15+'📅 Oct'!G15+'📅 Nov'!G15+'📅 Dec'!G15+'📅 Jan'!G15+'📅 Feb-E'!G15</f>
        <v>0</v>
      </c>
      <c r="H34" s="82">
        <f>'⚙️ Setup'!E23-('📅 Mar'!G15+'📅 Apr'!G15+'📅 May'!G15+'📅 Jun'!G15+'📅 Jul'!G15+'📅 Aug'!G15+'📅 Sep'!G15+'📅 Oct'!G15+'📅 Nov'!G15+'📅 Dec'!G15+'📅 Jan'!G15+'📅 Feb-E'!G15)</f>
        <v>10144</v>
      </c>
      <c r="I34" s="82">
        <f>'⚙️ Setup'!F23-('📅 Mar'!G15+'📅 Apr'!G15+'📅 May'!G15+'📅 Jun'!G15+'📅 Jul'!G15+'📅 Aug'!G15+'📅 Sep'!G15+'📅 Oct'!G15+'📅 Nov'!G15+'📅 Dec'!G15+'📅 Jan'!G15+'📅 Feb-E'!G15)</f>
        <v>4999.99</v>
      </c>
      <c r="J34" s="79">
        <f>IFERROR(('📅 Mar'!G15+'📅 Apr'!G15+'📅 May'!G15+'📅 Jun'!G15+'📅 Jul'!G15+'📅 Aug'!G15+'📅 Sep'!G15+'📅 Oct'!G15+'📅 Nov'!G15+'📅 Dec'!G15+'📅 Jan'!G15+'📅 Feb-E'!G15)/IF('⚙️ Setup'!E23=0,1,'⚙️ Setup'!E23),0)</f>
        <v>0</v>
      </c>
      <c r="K34" s="79">
        <f>IFERROR(('📅 Mar'!G15+'📅 Apr'!G15+'📅 May'!G15+'📅 Jun'!G15+'📅 Jul'!G15+'📅 Aug'!G15+'📅 Sep'!G15+'📅 Oct'!G15+'📅 Nov'!G15+'📅 Dec'!G15+'📅 Jan'!G15+'📅 Feb-E'!G15)/IF('⚙️ Setup'!F23=0,1,'⚙️ Setup'!F23),0)</f>
        <v>0</v>
      </c>
      <c r="L34" s="42" t="str">
        <f>IF(IFERROR(('📅 Mar'!G15+'📅 Apr'!G15+'📅 May'!G15+'📅 Jun'!G15+'📅 Jul'!G15+'📅 Aug'!G15+'📅 Sep'!G15+'📅 Oct'!G15+'📅 Nov'!G15+'📅 Dec'!G15+'📅 Jan'!G15+'📅 Feb-E'!G15)/IF('⚙️ Setup'!F23=0,1,'⚙️ Setup'!F23),0)&gt;=0.95,"⚠️ NEAR LIMIT",IF(IFERROR(('📅 Mar'!G15+'📅 Apr'!G15+'📅 May'!G15+'📅 Jun'!G15+'📅 Jul'!G15+'📅 Aug'!G15+'📅 Sep'!G15+'📅 Oct'!G15+'📅 Nov'!G15+'📅 Dec'!G15+'📅 Jan'!G15+'📅 Feb-E'!G15)/IF('⚙️ Setup'!F23=0,1,'⚙️ Setup'!F23),0)&gt;=0.8,"🟡 CAUTION","✅ ON TRACK"))</f>
        <v>✅ ON TRACK</v>
      </c>
      <c r="M34" s="83">
        <f>IFERROR('⚙️ Setup'!F23/IF('⚙️ Setup'!E23=0,1,'⚙️ Setup'!E23),0)</f>
        <v>0.4929012223974763</v>
      </c>
      <c r="N34" s="42" t="str">
        <f>IF(IFERROR(('📅 Mar'!G15+'📅 Apr'!G15+'📅 May'!G15+'📅 Jun'!G15+'📅 Jul'!G15+'📅 Aug'!G15+'📅 Sep'!G15+'📅 Oct'!G15+'📅 Nov'!G15+'📅 Dec'!G15+'📅 Jan'!G15+'📅 Feb-E'!G15)/IF('⚙️ Setup'!F23=0,1,'⚙️ Setup'!F23),0)&gt;=0.95,"⚠️ NEAR LIMIT",IF(IFERROR(('📅 Mar'!G15+'📅 Apr'!G15+'📅 May'!G15+'📅 Jun'!G15+'📅 Jul'!G15+'📅 Aug'!G15+'📅 Sep'!G15+'📅 Oct'!G15+'📅 Nov'!G15+'📅 Dec'!G15+'📅 Jan'!G15+'📅 Feb-E'!G15)/IF('⚙️ Setup'!F23=0,1,'⚙️ Setup'!F23),0)&gt;=0.8,"🟡 CAUTION","✅ ON TRACK"))</f>
        <v>✅ ON TRACK</v>
      </c>
      <c r="O34" s="75">
        <f>MAX(0,'⚙️ Setup'!E23-'⚙️ Setup'!F23)</f>
        <v>5144.01</v>
      </c>
    </row>
    <row r="35" spans="2:15" ht="18" customHeight="1" x14ac:dyDescent="0.35"/>
  </sheetData>
  <mergeCells count="18">
    <mergeCell ref="B24:O24"/>
    <mergeCell ref="B3:P3"/>
    <mergeCell ref="B5:C5"/>
    <mergeCell ref="D5:E5"/>
    <mergeCell ref="F5:G5"/>
    <mergeCell ref="F6:G6"/>
    <mergeCell ref="H5:I5"/>
    <mergeCell ref="B8:P8"/>
    <mergeCell ref="L5:M5"/>
    <mergeCell ref="N5:O5"/>
    <mergeCell ref="D6:E6"/>
    <mergeCell ref="B6:C6"/>
    <mergeCell ref="B2:P2"/>
    <mergeCell ref="H6:I6"/>
    <mergeCell ref="L6:M6"/>
    <mergeCell ref="J6:K6"/>
    <mergeCell ref="J5:K5"/>
    <mergeCell ref="N6:O6"/>
  </mergeCells>
  <conditionalFormatting sqref="O10:O22">
    <cfRule type="colorScale" priority="2">
      <colorScale>
        <cfvo type="num" val="0"/>
        <cfvo type="num" val="0.8"/>
        <cfvo type="num" val="1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</sheetPr>
  <dimension ref="A1:H146"/>
  <sheetViews>
    <sheetView showGridLines="0" topLeftCell="A80" zoomScale="56" zoomScaleNormal="188" workbookViewId="0">
      <selection activeCell="T92" sqref="T92"/>
    </sheetView>
  </sheetViews>
  <sheetFormatPr defaultColWidth="8.6328125" defaultRowHeight="14.5" x14ac:dyDescent="0.35"/>
  <cols>
    <col min="1" max="1" width="10" customWidth="1"/>
    <col min="2" max="5" width="16" customWidth="1"/>
    <col min="6" max="8" width="16" hidden="1" customWidth="1"/>
    <col min="9" max="9" width="30" customWidth="1"/>
    <col min="10" max="10" width="18" customWidth="1"/>
  </cols>
  <sheetData>
    <row r="1" spans="1:8" ht="18" customHeight="1" x14ac:dyDescent="0.35">
      <c r="A1" s="114" t="s">
        <v>227</v>
      </c>
      <c r="B1" s="115"/>
      <c r="C1" s="115"/>
      <c r="D1" s="115"/>
      <c r="E1" s="115"/>
      <c r="F1" s="115"/>
      <c r="G1" s="115"/>
    </row>
    <row r="2" spans="1:8" ht="24" customHeight="1" x14ac:dyDescent="0.35">
      <c r="A2" s="41" t="s">
        <v>203</v>
      </c>
      <c r="B2" s="41" t="s">
        <v>228</v>
      </c>
      <c r="C2" s="41" t="s">
        <v>229</v>
      </c>
      <c r="D2" s="41" t="s">
        <v>220</v>
      </c>
      <c r="E2" s="41" t="s">
        <v>221</v>
      </c>
      <c r="F2" s="41" t="s">
        <v>230</v>
      </c>
      <c r="G2" s="41" t="s">
        <v>231</v>
      </c>
      <c r="H2" s="81" t="s">
        <v>232</v>
      </c>
    </row>
    <row r="3" spans="1:8" ht="18" customHeight="1" x14ac:dyDescent="0.35">
      <c r="A3" s="86" t="s">
        <v>233</v>
      </c>
      <c r="B3" s="87">
        <f>IF((IFERROR('📅 Mar'!G7,0))=0,"",IFERROR('📅 Mar'!G7,0))</f>
        <v>45545.440000000002</v>
      </c>
      <c r="C3" s="87">
        <f>IF((IFERROR('📅 Mar'!G7,0))&gt;0,IFERROR('📅 Mar'!G7,0),IFERROR('📅 Mar'!H7,0))</f>
        <v>45545.440000000002</v>
      </c>
      <c r="D3" s="87">
        <f>'⚙️ Setup'!E15</f>
        <v>593717.36</v>
      </c>
      <c r="E3" s="87">
        <f>'⚙️ Setup'!F15</f>
        <v>432918.91000000003</v>
      </c>
      <c r="F3" s="88">
        <f>'⚙️ Setup'!F15*0.75</f>
        <v>324689.1825</v>
      </c>
      <c r="G3" s="89">
        <f>'⚙️ Setup'!F15</f>
        <v>432918.91000000003</v>
      </c>
      <c r="H3" s="90">
        <f>'⚙️ Setup'!F15</f>
        <v>432918.91000000003</v>
      </c>
    </row>
    <row r="4" spans="1:8" ht="18" customHeight="1" x14ac:dyDescent="0.35">
      <c r="A4" s="91" t="s">
        <v>234</v>
      </c>
      <c r="B4" s="92">
        <f>IF((IFERROR('📅 Mar'!G7,0)+IFERROR('📅 Apr'!G7,0))=0,"",IFERROR('📅 Mar'!G7,0)+IFERROR('📅 Apr'!G7,0))</f>
        <v>45545.440000000002</v>
      </c>
      <c r="C4" s="92">
        <f>IF((IFERROR('📅 Mar'!G7,0))&gt;0,IFERROR('📅 Mar'!G7,0),IFERROR('📅 Mar'!H7,0))+IF((IFERROR('📅 Apr'!G7,0))&gt;0,IFERROR('📅 Apr'!G7,0),IFERROR('📅 Apr'!H7,0))</f>
        <v>95970.75</v>
      </c>
      <c r="D4" s="92">
        <f>'⚙️ Setup'!E15</f>
        <v>593717.36</v>
      </c>
      <c r="E4" s="92">
        <f>'⚙️ Setup'!F15</f>
        <v>432918.91000000003</v>
      </c>
      <c r="F4" s="88">
        <f>'⚙️ Setup'!F15*0.75</f>
        <v>324689.1825</v>
      </c>
      <c r="G4" s="89">
        <f>'⚙️ Setup'!F15</f>
        <v>432918.91000000003</v>
      </c>
      <c r="H4" s="90">
        <f>'⚙️ Setup'!F15</f>
        <v>432918.91000000003</v>
      </c>
    </row>
    <row r="5" spans="1:8" ht="18" customHeight="1" x14ac:dyDescent="0.35">
      <c r="A5" s="86" t="s">
        <v>139</v>
      </c>
      <c r="B5" s="87">
        <f>IF((IFERROR('📅 Mar'!G7,0)+IFERROR('📅 Apr'!G7,0)+IFERROR('📅 May'!G7,0))=0,"",IFERROR('📅 Mar'!G7,0)+IFERROR('📅 Apr'!G7,0)+IFERROR('📅 May'!G7,0))</f>
        <v>45545.440000000002</v>
      </c>
      <c r="C5" s="87">
        <f>IF((IFERROR('📅 Mar'!G7,0))&gt;0,IFERROR('📅 Mar'!G7,0),IFERROR('📅 Mar'!H7,0))+IF((IFERROR('📅 Apr'!G7,0))&gt;0,IFERROR('📅 Apr'!G7,0),IFERROR('📅 Apr'!H7,0))+IF((IFERROR('📅 May'!G7,0))&gt;0,IFERROR('📅 May'!G7,0),IFERROR('📅 May'!H7,0))</f>
        <v>144769.44</v>
      </c>
      <c r="D5" s="87">
        <f>'⚙️ Setup'!E15</f>
        <v>593717.36</v>
      </c>
      <c r="E5" s="87">
        <f>'⚙️ Setup'!F15</f>
        <v>432918.91000000003</v>
      </c>
      <c r="F5" s="88">
        <f>'⚙️ Setup'!F15*0.75</f>
        <v>324689.1825</v>
      </c>
      <c r="G5" s="89">
        <f>'⚙️ Setup'!F15</f>
        <v>432918.91000000003</v>
      </c>
      <c r="H5" s="90">
        <f>'⚙️ Setup'!F15</f>
        <v>432918.91000000003</v>
      </c>
    </row>
    <row r="6" spans="1:8" ht="18" customHeight="1" x14ac:dyDescent="0.35">
      <c r="A6" s="91" t="s">
        <v>235</v>
      </c>
      <c r="B6" s="92">
        <f>IF((IFERROR('📅 Mar'!G7,0)+IFERROR('📅 Apr'!G7,0)+IFERROR('📅 May'!G7,0)+IFERROR('📅 Jun'!G7,0))=0,"",IFERROR('📅 Mar'!G7,0)+IFERROR('📅 Apr'!G7,0)+IFERROR('📅 May'!G7,0)+IFERROR('📅 Jun'!G7,0))</f>
        <v>45545.440000000002</v>
      </c>
      <c r="C6" s="92">
        <f>IF((IFERROR('📅 Mar'!G7,0))&gt;0,IFERROR('📅 Mar'!G7,0),IFERROR('📅 Mar'!H7,0))+IF((IFERROR('📅 Apr'!G7,0))&gt;0,IFERROR('📅 Apr'!G7,0),IFERROR('📅 Apr'!H7,0))+IF((IFERROR('📅 May'!G7,0))&gt;0,IFERROR('📅 May'!G7,0),IFERROR('📅 May'!H7,0))+IF((IFERROR('📅 Jun'!G7,0))&gt;0,IFERROR('📅 Jun'!G7,0),IFERROR('📅 Jun'!H7,0))</f>
        <v>195194.75</v>
      </c>
      <c r="D6" s="92">
        <f>'⚙️ Setup'!E15</f>
        <v>593717.36</v>
      </c>
      <c r="E6" s="92">
        <f>'⚙️ Setup'!F15</f>
        <v>432918.91000000003</v>
      </c>
      <c r="F6" s="88">
        <f>'⚙️ Setup'!F15*0.75</f>
        <v>324689.1825</v>
      </c>
      <c r="G6" s="89">
        <f>'⚙️ Setup'!F15</f>
        <v>432918.91000000003</v>
      </c>
      <c r="H6" s="90">
        <f>'⚙️ Setup'!F15</f>
        <v>432918.91000000003</v>
      </c>
    </row>
    <row r="7" spans="1:8" ht="18" customHeight="1" x14ac:dyDescent="0.35">
      <c r="A7" s="86" t="s">
        <v>236</v>
      </c>
      <c r="B7" s="87">
        <f>IF((IFERROR('📅 Mar'!G7,0)+IFERROR('📅 Apr'!G7,0)+IFERROR('📅 May'!G7,0)+IFERROR('📅 Jun'!G7,0)+IFERROR('📅 Jul'!G7,0))=0,"",IFERROR('📅 Mar'!G7,0)+IFERROR('📅 Apr'!G7,0)+IFERROR('📅 May'!G7,0)+IFERROR('📅 Jun'!G7,0)+IFERROR('📅 Jul'!G7,0))</f>
        <v>45545.440000000002</v>
      </c>
      <c r="C7" s="87">
        <f>IF((IFERROR('📅 Mar'!G7,0))&gt;0,IFERROR('📅 Mar'!G7,0),IFERROR('📅 Mar'!H7,0))+IF((IFERROR('📅 Apr'!G7,0))&gt;0,IFERROR('📅 Apr'!G7,0),IFERROR('📅 Apr'!H7,0))+IF((IFERROR('📅 May'!G7,0))&gt;0,IFERROR('📅 May'!G7,0),IFERROR('📅 May'!H7,0))+IF((IFERROR('📅 Jun'!G7,0))&gt;0,IFERROR('📅 Jun'!G7,0),IFERROR('📅 Jun'!H7,0))+IF((IFERROR('📅 Jul'!G7,0))&gt;0,IFERROR('📅 Jul'!G7,0),IFERROR('📅 Jul'!H7,0))</f>
        <v>243993.44</v>
      </c>
      <c r="D7" s="87">
        <f>'⚙️ Setup'!E15</f>
        <v>593717.36</v>
      </c>
      <c r="E7" s="87">
        <f>'⚙️ Setup'!F15</f>
        <v>432918.91000000003</v>
      </c>
      <c r="F7" s="88">
        <f>'⚙️ Setup'!F15*0.75</f>
        <v>324689.1825</v>
      </c>
      <c r="G7" s="89">
        <f>'⚙️ Setup'!F15</f>
        <v>432918.91000000003</v>
      </c>
      <c r="H7" s="90">
        <f>'⚙️ Setup'!F15</f>
        <v>432918.91000000003</v>
      </c>
    </row>
    <row r="8" spans="1:8" ht="18" customHeight="1" x14ac:dyDescent="0.35">
      <c r="A8" s="91" t="s">
        <v>237</v>
      </c>
      <c r="B8" s="92">
        <f>IF((IFERROR('📅 Mar'!G7,0)+IFERROR('📅 Apr'!G7,0)+IFERROR('📅 May'!G7,0)+IFERROR('📅 Jun'!G7,0)+IFERROR('📅 Jul'!G7,0)+IFERROR('📅 Aug'!G7,0))=0,"",IFERROR('📅 Mar'!G7,0)+IFERROR('📅 Apr'!G7,0)+IFERROR('📅 May'!G7,0)+IFERROR('📅 Jun'!G7,0)+IFERROR('📅 Jul'!G7,0)+IFERROR('📅 Aug'!G7,0))</f>
        <v>45545.440000000002</v>
      </c>
      <c r="C8" s="92">
        <f>IF((IFERROR('📅 Mar'!G7,0))&gt;0,IFERROR('📅 Mar'!G7,0),IFERROR('📅 Mar'!H7,0))+IF((IFERROR('📅 Apr'!G7,0))&gt;0,IFERROR('📅 Apr'!G7,0),IFERROR('📅 Apr'!H7,0))+IF((IFERROR('📅 May'!G7,0))&gt;0,IFERROR('📅 May'!G7,0),IFERROR('📅 May'!H7,0))+IF((IFERROR('📅 Jun'!G7,0))&gt;0,IFERROR('📅 Jun'!G7,0),IFERROR('📅 Jun'!H7,0))+IF((IFERROR('📅 Jul'!G7,0))&gt;0,IFERROR('📅 Jul'!G7,0),IFERROR('📅 Jul'!H7,0))+IF((IFERROR('📅 Aug'!G7,0))&gt;0,IFERROR('📅 Aug'!G7,0),IFERROR('📅 Aug'!H7,0))</f>
        <v>294418.75</v>
      </c>
      <c r="D8" s="92">
        <f>'⚙️ Setup'!E15</f>
        <v>593717.36</v>
      </c>
      <c r="E8" s="92">
        <f>'⚙️ Setup'!F15</f>
        <v>432918.91000000003</v>
      </c>
      <c r="F8" s="88">
        <f>'⚙️ Setup'!F15*0.75</f>
        <v>324689.1825</v>
      </c>
      <c r="G8" s="89">
        <f>'⚙️ Setup'!F15</f>
        <v>432918.91000000003</v>
      </c>
      <c r="H8" s="90">
        <f>'⚙️ Setup'!F15</f>
        <v>432918.91000000003</v>
      </c>
    </row>
    <row r="9" spans="1:8" ht="18" customHeight="1" x14ac:dyDescent="0.35">
      <c r="A9" s="86" t="s">
        <v>238</v>
      </c>
      <c r="B9" s="87">
        <f>IF((IFERROR('📅 Mar'!G7,0)+IFERROR('📅 Apr'!G7,0)+IFERROR('📅 May'!G7,0)+IFERROR('📅 Jun'!G7,0)+IFERROR('📅 Jul'!G7,0)+IFERROR('📅 Aug'!G7,0)+IFERROR('📅 Sep'!G7,0))=0,"",IFERROR('📅 Mar'!G7,0)+IFERROR('📅 Apr'!G7,0)+IFERROR('📅 May'!G7,0)+IFERROR('📅 Jun'!G7,0)+IFERROR('📅 Jul'!G7,0)+IFERROR('📅 Aug'!G7,0)+IFERROR('📅 Sep'!G7,0))</f>
        <v>45545.440000000002</v>
      </c>
      <c r="C9" s="87">
        <f>IF((IFERROR('📅 Mar'!G7,0))&gt;0,IFERROR('📅 Mar'!G7,0),IFERROR('📅 Mar'!H7,0))+IF((IFERROR('📅 Apr'!G7,0))&gt;0,IFERROR('📅 Apr'!G7,0),IFERROR('📅 Apr'!H7,0))+IF((IFERROR('📅 May'!G7,0))&gt;0,IFERROR('📅 May'!G7,0),IFERROR('📅 May'!H7,0))+IF((IFERROR('📅 Jun'!G7,0))&gt;0,IFERROR('📅 Jun'!G7,0),IFERROR('📅 Jun'!H7,0))+IF((IFERROR('📅 Jul'!G7,0))&gt;0,IFERROR('📅 Jul'!G7,0),IFERROR('📅 Jul'!H7,0))+IF((IFERROR('📅 Aug'!G7,0))&gt;0,IFERROR('📅 Aug'!G7,0),IFERROR('📅 Aug'!H7,0))+IF((IFERROR('📅 Sep'!G7,0))&gt;0,IFERROR('📅 Sep'!G7,0),IFERROR('📅 Sep'!H7,0))</f>
        <v>344844.06</v>
      </c>
      <c r="D9" s="87">
        <f>'⚙️ Setup'!E15</f>
        <v>593717.36</v>
      </c>
      <c r="E9" s="87">
        <f>'⚙️ Setup'!F15</f>
        <v>432918.91000000003</v>
      </c>
      <c r="F9" s="88">
        <f>'⚙️ Setup'!F15*0.75</f>
        <v>324689.1825</v>
      </c>
      <c r="G9" s="89">
        <f>'⚙️ Setup'!F15</f>
        <v>432918.91000000003</v>
      </c>
      <c r="H9" s="90">
        <f>'⚙️ Setup'!F15</f>
        <v>432918.91000000003</v>
      </c>
    </row>
    <row r="10" spans="1:8" ht="18" customHeight="1" x14ac:dyDescent="0.35">
      <c r="A10" s="91" t="s">
        <v>239</v>
      </c>
      <c r="B10" s="92">
        <f>IF((IFERROR('📅 Mar'!G7,0)+IFERROR('📅 Apr'!G7,0)+IFERROR('📅 May'!G7,0)+IFERROR('📅 Jun'!G7,0)+IFERROR('📅 Jul'!G7,0)+IFERROR('📅 Aug'!G7,0)+IFERROR('📅 Sep'!G7,0)+IFERROR('📅 Oct'!G7,0))=0,"",IFERROR('📅 Mar'!G7,0)+IFERROR('📅 Apr'!G7,0)+IFERROR('📅 May'!G7,0)+IFERROR('📅 Jun'!G7,0)+IFERROR('📅 Jul'!G7,0)+IFERROR('📅 Aug'!G7,0)+IFERROR('📅 Sep'!G7,0)+IFERROR('📅 Oct'!G7,0))</f>
        <v>45545.440000000002</v>
      </c>
      <c r="C10" s="101">
        <f>IF((IFERROR('📅 Mar'!G7,0))&gt;0,IFERROR('📅 Mar'!G7,0),IFERROR('📅 Mar'!H7,0))+IF((IFERROR('📅 Apr'!G7,0))&gt;0,IFERROR('📅 Apr'!G7,0),IFERROR('📅 Apr'!H7,0))+IF((IFERROR('📅 May'!G7,0))&gt;0,IFERROR('📅 May'!G7,0),IFERROR('📅 May'!H7,0))+IF((IFERROR('📅 Jun'!G7,0))&gt;0,IFERROR('📅 Jun'!G7,0),IFERROR('📅 Jun'!H7,0))+IF((IFERROR('📅 Jul'!G7,0))&gt;0,IFERROR('📅 Jul'!G7,0),IFERROR('📅 Jul'!H7,0))+IF((IFERROR('📅 Aug'!G7,0))&gt;0,IFERROR('📅 Aug'!G7,0),IFERROR('📅 Aug'!H7,0))+IF((IFERROR('📅 Sep'!G7,0))&gt;0,IFERROR('📅 Sep'!G7,0),IFERROR('📅 Sep'!H7,0))+IF((IFERROR('📅 Oct'!G7,0))&gt;0,IFERROR('📅 Oct'!G7,0),IFERROR('📅 Oct'!H7,0))</f>
        <v>393642.75</v>
      </c>
      <c r="D10" s="101">
        <f>'⚙️ Setup'!E15</f>
        <v>593717.36</v>
      </c>
      <c r="E10" s="101">
        <f>'⚙️ Setup'!F15</f>
        <v>432918.91000000003</v>
      </c>
      <c r="F10" s="104">
        <f>'⚙️ Setup'!F15*0.75</f>
        <v>324689.1825</v>
      </c>
      <c r="G10" s="89">
        <f>'⚙️ Setup'!F15</f>
        <v>432918.91000000003</v>
      </c>
      <c r="H10" s="90">
        <f>'⚙️ Setup'!F15</f>
        <v>432918.91000000003</v>
      </c>
    </row>
    <row r="11" spans="1:8" ht="18" customHeight="1" x14ac:dyDescent="0.35">
      <c r="A11" s="86" t="s">
        <v>240</v>
      </c>
      <c r="B11" s="87">
        <f>IF((IFERROR('📅 Mar'!G7,0)+IFERROR('📅 Apr'!G7,0)+IFERROR('📅 May'!G7,0)+IFERROR('📅 Jun'!G7,0)+IFERROR('📅 Jul'!G7,0)+IFERROR('📅 Aug'!G7,0)+IFERROR('📅 Sep'!G7,0)+IFERROR('📅 Oct'!G7,0)+IFERROR('📅 Nov'!G7,0))=0,"",IFERROR('📅 Mar'!G7,0)+IFERROR('📅 Apr'!G7,0)+IFERROR('📅 May'!G7,0)+IFERROR('📅 Jun'!G7,0)+IFERROR('📅 Jul'!G7,0)+IFERROR('📅 Aug'!G7,0)+IFERROR('📅 Sep'!G7,0)+IFERROR('📅 Oct'!G7,0)+IFERROR('📅 Nov'!G7,0))</f>
        <v>45545.440000000002</v>
      </c>
      <c r="C11" s="100">
        <f>IF((IFERROR('📅 Mar'!G7,0))&gt;0,IFERROR('📅 Mar'!G7,0),IFERROR('📅 Mar'!H7,0))+IF((IFERROR('📅 Apr'!G7,0))&gt;0,IFERROR('📅 Apr'!G7,0),IFERROR('📅 Apr'!H7,0))+IF((IFERROR('📅 May'!G7,0))&gt;0,IFERROR('📅 May'!G7,0),IFERROR('📅 May'!H7,0))+IF((IFERROR('📅 Jun'!G7,0))&gt;0,IFERROR('📅 Jun'!G7,0),IFERROR('📅 Jun'!H7,0))+IF((IFERROR('📅 Jul'!G7,0))&gt;0,IFERROR('📅 Jul'!G7,0),IFERROR('📅 Jul'!H7,0))+IF((IFERROR('📅 Aug'!G7,0))&gt;0,IFERROR('📅 Aug'!G7,0),IFERROR('📅 Aug'!H7,0))+IF((IFERROR('📅 Sep'!G7,0))&gt;0,IFERROR('📅 Sep'!G7,0),IFERROR('📅 Sep'!H7,0))+IF((IFERROR('📅 Oct'!G7,0))&gt;0,IFERROR('📅 Oct'!G7,0),IFERROR('📅 Oct'!H7,0))+IF((IFERROR('📅 Nov'!G7,0))&gt;0,IFERROR('📅 Nov'!G7,0),IFERROR('📅 Nov'!H7,0))</f>
        <v>444068.06</v>
      </c>
      <c r="D11" s="100">
        <f>'⚙️ Setup'!E15</f>
        <v>593717.36</v>
      </c>
      <c r="E11" s="100">
        <f>'⚙️ Setup'!F15</f>
        <v>432918.91000000003</v>
      </c>
      <c r="F11" s="104">
        <f>'⚙️ Setup'!F15*0.75</f>
        <v>324689.1825</v>
      </c>
      <c r="G11" s="89">
        <f>'⚙️ Setup'!F15</f>
        <v>432918.91000000003</v>
      </c>
      <c r="H11" s="90">
        <f>'⚙️ Setup'!F15</f>
        <v>432918.91000000003</v>
      </c>
    </row>
    <row r="12" spans="1:8" ht="18" customHeight="1" x14ac:dyDescent="0.35">
      <c r="A12" s="91" t="s">
        <v>241</v>
      </c>
      <c r="B12" s="92">
        <f>IF((IFERROR('📅 Mar'!G7,0)+IFERROR('📅 Apr'!G7,0)+IFERROR('📅 May'!G7,0)+IFERROR('📅 Jun'!G7,0)+IFERROR('📅 Jul'!G7,0)+IFERROR('📅 Aug'!G7,0)+IFERROR('📅 Sep'!G7,0)+IFERROR('📅 Oct'!G7,0)+IFERROR('📅 Nov'!G7,0)+IFERROR('📅 Dec'!G7,0))=0,"",IFERROR('📅 Mar'!G7,0)+IFERROR('📅 Apr'!G7,0)+IFERROR('📅 May'!G7,0)+IFERROR('📅 Jun'!G7,0)+IFERROR('📅 Jul'!G7,0)+IFERROR('📅 Aug'!G7,0)+IFERROR('📅 Sep'!G7,0)+IFERROR('📅 Oct'!G7,0)+IFERROR('📅 Nov'!G7,0)+IFERROR('📅 Dec'!G7,0))</f>
        <v>45545.440000000002</v>
      </c>
      <c r="C12" s="101">
        <f>IF((IFERROR('📅 Mar'!G7,0))&gt;0,IFERROR('📅 Mar'!G7,0),IFERROR('📅 Mar'!H7,0))+IF((IFERROR('📅 Apr'!G7,0))&gt;0,IFERROR('📅 Apr'!G7,0),IFERROR('📅 Apr'!H7,0))+IF((IFERROR('📅 May'!G7,0))&gt;0,IFERROR('📅 May'!G7,0),IFERROR('📅 May'!H7,0))+IF((IFERROR('📅 Jun'!G7,0))&gt;0,IFERROR('📅 Jun'!G7,0),IFERROR('📅 Jun'!H7,0))+IF((IFERROR('📅 Jul'!G7,0))&gt;0,IFERROR('📅 Jul'!G7,0),IFERROR('📅 Jul'!H7,0))+IF((IFERROR('📅 Aug'!G7,0))&gt;0,IFERROR('📅 Aug'!G7,0),IFERROR('📅 Aug'!H7,0))+IF((IFERROR('📅 Sep'!G7,0))&gt;0,IFERROR('📅 Sep'!G7,0),IFERROR('📅 Sep'!H7,0))+IF((IFERROR('📅 Oct'!G7,0))&gt;0,IFERROR('📅 Oct'!G7,0),IFERROR('📅 Oct'!H7,0))+IF((IFERROR('📅 Nov'!G7,0))&gt;0,IFERROR('📅 Nov'!G7,0),IFERROR('📅 Nov'!H7,0))+IF((IFERROR('📅 Dec'!G7,0))&gt;0,IFERROR('📅 Dec'!G7,0),IFERROR('📅 Dec'!H7,0))</f>
        <v>492866.75</v>
      </c>
      <c r="D12" s="101">
        <f>'⚙️ Setup'!E15</f>
        <v>593717.36</v>
      </c>
      <c r="E12" s="101">
        <f>'⚙️ Setup'!F15</f>
        <v>432918.91000000003</v>
      </c>
      <c r="F12" s="104">
        <f>'⚙️ Setup'!F15*0.75</f>
        <v>324689.1825</v>
      </c>
      <c r="G12" s="89">
        <f>'⚙️ Setup'!F15</f>
        <v>432918.91000000003</v>
      </c>
      <c r="H12" s="90">
        <f>'⚙️ Setup'!F15</f>
        <v>432918.91000000003</v>
      </c>
    </row>
    <row r="13" spans="1:8" ht="18" customHeight="1" x14ac:dyDescent="0.35">
      <c r="A13" s="86" t="s">
        <v>242</v>
      </c>
      <c r="B13" s="87">
        <f>IF((IFERROR('📅 Mar'!G7,0)+IFERROR('📅 Apr'!G7,0)+IFERROR('📅 May'!G7,0)+IFERROR('📅 Jun'!G7,0)+IFERROR('📅 Jul'!G7,0)+IFERROR('📅 Aug'!G7,0)+IFERROR('📅 Sep'!G7,0)+IFERROR('📅 Oct'!G7,0)+IFERROR('📅 Nov'!G7,0)+IFERROR('📅 Dec'!G7,0)+IFERROR('📅 Jan'!G7,0))=0,"",IFERROR('📅 Mar'!G7,0)+IFERROR('📅 Apr'!G7,0)+IFERROR('📅 May'!G7,0)+IFERROR('📅 Jun'!G7,0)+IFERROR('📅 Jul'!G7,0)+IFERROR('📅 Aug'!G7,0)+IFERROR('📅 Sep'!G7,0)+IFERROR('📅 Oct'!G7,0)+IFERROR('📅 Nov'!G7,0)+IFERROR('📅 Dec'!G7,0)+IFERROR('📅 Jan'!G7,0))</f>
        <v>45545.440000000002</v>
      </c>
      <c r="C13" s="100">
        <f>IF((IFERROR('📅 Mar'!G7,0))&gt;0,IFERROR('📅 Mar'!G7,0),IFERROR('📅 Mar'!H7,0))+IF((IFERROR('📅 Apr'!G7,0))&gt;0,IFERROR('📅 Apr'!G7,0),IFERROR('📅 Apr'!H7,0))+IF((IFERROR('📅 May'!G7,0))&gt;0,IFERROR('📅 May'!G7,0),IFERROR('📅 May'!H7,0))+IF((IFERROR('📅 Jun'!G7,0))&gt;0,IFERROR('📅 Jun'!G7,0),IFERROR('📅 Jun'!H7,0))+IF((IFERROR('📅 Jul'!G7,0))&gt;0,IFERROR('📅 Jul'!G7,0),IFERROR('📅 Jul'!H7,0))+IF((IFERROR('📅 Aug'!G7,0))&gt;0,IFERROR('📅 Aug'!G7,0),IFERROR('📅 Aug'!H7,0))+IF((IFERROR('📅 Sep'!G7,0))&gt;0,IFERROR('📅 Sep'!G7,0),IFERROR('📅 Sep'!H7,0))+IF((IFERROR('📅 Oct'!G7,0))&gt;0,IFERROR('📅 Oct'!G7,0),IFERROR('📅 Oct'!H7,0))+IF((IFERROR('📅 Nov'!G7,0))&gt;0,IFERROR('📅 Nov'!G7,0),IFERROR('📅 Nov'!H7,0))+IF((IFERROR('📅 Dec'!G7,0))&gt;0,IFERROR('📅 Dec'!G7,0),IFERROR('📅 Dec'!H7,0))+IF((IFERROR('📅 Jan'!G7,0))&gt;0,IFERROR('📅 Jan'!G7,0),IFERROR('📅 Jan'!H7,0))</f>
        <v>543292.06000000006</v>
      </c>
      <c r="D13" s="100">
        <f>'⚙️ Setup'!E15</f>
        <v>593717.36</v>
      </c>
      <c r="E13" s="100">
        <f>'⚙️ Setup'!F15</f>
        <v>432918.91000000003</v>
      </c>
      <c r="F13" s="104">
        <f>'⚙️ Setup'!F15*0.75</f>
        <v>324689.1825</v>
      </c>
      <c r="G13" s="89">
        <f>'⚙️ Setup'!F15</f>
        <v>432918.91000000003</v>
      </c>
      <c r="H13" s="90">
        <f>'⚙️ Setup'!F15</f>
        <v>432918.91000000003</v>
      </c>
    </row>
    <row r="14" spans="1:8" ht="18" customHeight="1" x14ac:dyDescent="0.35">
      <c r="A14" s="91" t="s">
        <v>243</v>
      </c>
      <c r="B14" s="92">
        <f>IF((IFERROR('📅 Mar'!G7,0)+IFERROR('📅 Apr'!G7,0)+IFERROR('📅 May'!G7,0)+IFERROR('📅 Jun'!G7,0)+IFERROR('📅 Jul'!G7,0)+IFERROR('📅 Aug'!G7,0)+IFERROR('📅 Sep'!G7,0)+IFERROR('📅 Oct'!G7,0)+IFERROR('📅 Nov'!G7,0)+IFERROR('📅 Dec'!G7,0)+IFERROR('📅 Jan'!G7,0)+IFERROR('📅 Feb-E'!G7,0))=0,"",IFERROR('📅 Mar'!G7,0)+IFERROR('📅 Apr'!G7,0)+IFERROR('📅 May'!G7,0)+IFERROR('📅 Jun'!G7,0)+IFERROR('📅 Jul'!G7,0)+IFERROR('📅 Aug'!G7,0)+IFERROR('📅 Sep'!G7,0)+IFERROR('📅 Oct'!G7,0)+IFERROR('📅 Nov'!G7,0)+IFERROR('📅 Dec'!G7,0)+IFERROR('📅 Jan'!G7,0)+IFERROR('📅 Feb-E'!G7,0))</f>
        <v>45545.440000000002</v>
      </c>
      <c r="C14" s="101">
        <f>IF((IFERROR('📅 Mar'!G7,0))&gt;0,IFERROR('📅 Mar'!G7,0),IFERROR('📅 Mar'!H7,0))+IF((IFERROR('📅 Apr'!G7,0))&gt;0,IFERROR('📅 Apr'!G7,0),IFERROR('📅 Apr'!H7,0))+IF((IFERROR('📅 May'!G7,0))&gt;0,IFERROR('📅 May'!G7,0),IFERROR('📅 May'!H7,0))+IF((IFERROR('📅 Jun'!G7,0))&gt;0,IFERROR('📅 Jun'!G7,0),IFERROR('📅 Jun'!H7,0))+IF((IFERROR('📅 Jul'!G7,0))&gt;0,IFERROR('📅 Jul'!G7,0),IFERROR('📅 Jul'!H7,0))+IF((IFERROR('📅 Aug'!G7,0))&gt;0,IFERROR('📅 Aug'!G7,0),IFERROR('📅 Aug'!H7,0))+IF((IFERROR('📅 Sep'!G7,0))&gt;0,IFERROR('📅 Sep'!G7,0),IFERROR('📅 Sep'!H7,0))+IF((IFERROR('📅 Oct'!G7,0))&gt;0,IFERROR('📅 Oct'!G7,0),IFERROR('📅 Oct'!H7,0))+IF((IFERROR('📅 Nov'!G7,0))&gt;0,IFERROR('📅 Nov'!G7,0),IFERROR('📅 Nov'!H7,0))+IF((IFERROR('📅 Dec'!G7,0))&gt;0,IFERROR('📅 Dec'!G7,0),IFERROR('📅 Dec'!H7,0))+IF((IFERROR('📅 Jan'!G7,0))&gt;0,IFERROR('📅 Jan'!G7,0),IFERROR('📅 Jan'!H7,0))+IF((IFERROR('📅 Feb-E'!G7,0))&gt;0,IFERROR('📅 Feb-E'!G7,0),IFERROR('📅 Feb-E'!H7,0))</f>
        <v>593717.3600000001</v>
      </c>
      <c r="D14" s="101">
        <f>'⚙️ Setup'!E15</f>
        <v>593717.36</v>
      </c>
      <c r="E14" s="101">
        <f>'⚙️ Setup'!F15</f>
        <v>432918.91000000003</v>
      </c>
      <c r="F14" s="104">
        <f>'⚙️ Setup'!F15*0.75</f>
        <v>324689.1825</v>
      </c>
      <c r="G14" s="89">
        <f>'⚙️ Setup'!F15</f>
        <v>432918.91000000003</v>
      </c>
      <c r="H14" s="90">
        <f>'⚙️ Setup'!F15</f>
        <v>432918.91000000003</v>
      </c>
    </row>
    <row r="15" spans="1:8" ht="19.5" customHeight="1" x14ac:dyDescent="0.35">
      <c r="A15" s="107" t="s">
        <v>244</v>
      </c>
      <c r="B15" s="108"/>
      <c r="C15" s="120" t="str" cm="1">
        <f t="array" ref="C15">IFERROR(INDEX(A3:A14,_xlfn.AGGREGATE(15,6,(ROW(A3:A14)-ROW(A3)+1)/(C3:C14&gt;='⚙️ Setup'!F15*0.75),1)),"Not yet projected")</f>
        <v>Sep</v>
      </c>
      <c r="D15" s="113"/>
      <c r="E15" s="121"/>
      <c r="F15" s="103"/>
    </row>
    <row r="16" spans="1:8" ht="19.5" customHeight="1" x14ac:dyDescent="0.35">
      <c r="A16" s="111" t="s">
        <v>245</v>
      </c>
      <c r="B16" s="108"/>
      <c r="C16" s="112" t="str" cm="1">
        <f t="array" ref="C16">IFERROR(INDEX(A3:A14,_xlfn.AGGREGATE(15,6,(ROW(A3:A14)-ROW(A3)+1)/(C3:C14&gt;='⚙️ Setup'!F15),1)),"Not yet projected")</f>
        <v>Nov</v>
      </c>
      <c r="D16" s="113"/>
      <c r="E16" s="113"/>
      <c r="F16" s="103"/>
    </row>
    <row r="17" spans="1:8" ht="19.5" customHeight="1" x14ac:dyDescent="0.35">
      <c r="A17" s="114" t="s">
        <v>246</v>
      </c>
      <c r="B17" s="115"/>
      <c r="C17" s="117"/>
      <c r="D17" s="117"/>
      <c r="E17" s="117"/>
      <c r="F17" s="117"/>
      <c r="G17" s="115"/>
    </row>
    <row r="18" spans="1:8" ht="24" customHeight="1" x14ac:dyDescent="0.35">
      <c r="A18" s="41" t="s">
        <v>203</v>
      </c>
      <c r="B18" s="93" t="s">
        <v>228</v>
      </c>
      <c r="C18" s="105" t="s">
        <v>229</v>
      </c>
      <c r="D18" s="105" t="s">
        <v>220</v>
      </c>
      <c r="E18" s="105" t="s">
        <v>221</v>
      </c>
      <c r="F18" s="105" t="s">
        <v>230</v>
      </c>
      <c r="G18" s="41" t="s">
        <v>231</v>
      </c>
      <c r="H18" s="81" t="s">
        <v>232</v>
      </c>
    </row>
    <row r="19" spans="1:8" ht="18" customHeight="1" x14ac:dyDescent="0.35">
      <c r="A19" s="86" t="s">
        <v>233</v>
      </c>
      <c r="B19" s="87">
        <f>IF((IFERROR('📅 Mar'!G8,0))=0,"",IFERROR('📅 Mar'!G8,0))</f>
        <v>139671.71</v>
      </c>
      <c r="C19" s="100">
        <f>IF((IFERROR('📅 Mar'!G8,0))&gt;0,IFERROR('📅 Mar'!G8,0),IFERROR('📅 Mar'!H8,0))</f>
        <v>139671.71</v>
      </c>
      <c r="D19" s="100">
        <f>'⚙️ Setup'!E16</f>
        <v>727970.79</v>
      </c>
      <c r="E19" s="100">
        <f>'⚙️ Setup'!F16</f>
        <v>561144.15</v>
      </c>
      <c r="F19" s="104">
        <f>'⚙️ Setup'!F16*0.75</f>
        <v>420858.11250000005</v>
      </c>
      <c r="G19" s="89">
        <f>'⚙️ Setup'!F16</f>
        <v>561144.15</v>
      </c>
      <c r="H19" s="90">
        <f>'⚙️ Setup'!F16</f>
        <v>561144.15</v>
      </c>
    </row>
    <row r="20" spans="1:8" ht="18" customHeight="1" x14ac:dyDescent="0.35">
      <c r="A20" s="91" t="s">
        <v>234</v>
      </c>
      <c r="B20" s="92">
        <f>IF((IFERROR('📅 Mar'!G8,0)+IFERROR('📅 Apr'!G8,0))=0,"",IFERROR('📅 Mar'!G8,0)+IFERROR('📅 Apr'!G8,0))</f>
        <v>139671.71</v>
      </c>
      <c r="C20" s="101">
        <f>IF((IFERROR('📅 Mar'!G8,0))&gt;0,IFERROR('📅 Mar'!G8,0),IFERROR('📅 Mar'!H8,0))+IF((IFERROR('📅 Apr'!G8,0))&gt;0,IFERROR('📅 Apr'!G8,0),IFERROR('📅 Apr'!H8,0))</f>
        <v>225938.8052</v>
      </c>
      <c r="D20" s="101">
        <f>'⚙️ Setup'!E16</f>
        <v>727970.79</v>
      </c>
      <c r="E20" s="101">
        <f>'⚙️ Setup'!F16</f>
        <v>561144.15</v>
      </c>
      <c r="F20" s="104">
        <f>'⚙️ Setup'!F16*0.75</f>
        <v>420858.11250000005</v>
      </c>
      <c r="G20" s="89">
        <f>'⚙️ Setup'!F16</f>
        <v>561144.15</v>
      </c>
      <c r="H20" s="90">
        <f>'⚙️ Setup'!F16</f>
        <v>561144.15</v>
      </c>
    </row>
    <row r="21" spans="1:8" ht="18" customHeight="1" x14ac:dyDescent="0.35">
      <c r="A21" s="86" t="s">
        <v>139</v>
      </c>
      <c r="B21" s="87">
        <f>IF((IFERROR('📅 Mar'!G8,0)+IFERROR('📅 Apr'!G8,0)+IFERROR('📅 May'!G8,0))=0,"",IFERROR('📅 Mar'!G8,0)+IFERROR('📅 Apr'!G8,0)+IFERROR('📅 May'!G8,0))</f>
        <v>139671.71</v>
      </c>
      <c r="C21" s="100">
        <f>IF((IFERROR('📅 Mar'!G8,0))&gt;0,IFERROR('📅 Mar'!G8,0),IFERROR('📅 Mar'!H8,0))+IF((IFERROR('📅 Apr'!G8,0))&gt;0,IFERROR('📅 Apr'!G8,0),IFERROR('📅 Apr'!H8,0))+IF((IFERROR('📅 May'!G8,0))&gt;0,IFERROR('📅 May'!G8,0),IFERROR('📅 May'!H8,0))</f>
        <v>323474.59880000004</v>
      </c>
      <c r="D21" s="100">
        <f>'⚙️ Setup'!E16</f>
        <v>727970.79</v>
      </c>
      <c r="E21" s="100">
        <f>'⚙️ Setup'!F16</f>
        <v>561144.15</v>
      </c>
      <c r="F21" s="104">
        <f>'⚙️ Setup'!F16*0.75</f>
        <v>420858.11250000005</v>
      </c>
      <c r="G21" s="89">
        <f>'⚙️ Setup'!F16</f>
        <v>561144.15</v>
      </c>
      <c r="H21" s="90">
        <f>'⚙️ Setup'!F16</f>
        <v>561144.15</v>
      </c>
    </row>
    <row r="22" spans="1:8" ht="18" customHeight="1" x14ac:dyDescent="0.35">
      <c r="A22" s="91" t="s">
        <v>235</v>
      </c>
      <c r="B22" s="92">
        <f>IF((IFERROR('📅 Mar'!G8,0)+IFERROR('📅 Apr'!G8,0)+IFERROR('📅 May'!G8,0)+IFERROR('📅 Jun'!G8,0))=0,"",IFERROR('📅 Mar'!G8,0)+IFERROR('📅 Apr'!G8,0)+IFERROR('📅 May'!G8,0)+IFERROR('📅 Jun'!G8,0))</f>
        <v>139671.71</v>
      </c>
      <c r="C22" s="101">
        <f>IF((IFERROR('📅 Mar'!G8,0))&gt;0,IFERROR('📅 Mar'!G8,0),IFERROR('📅 Mar'!H8,0))+IF((IFERROR('📅 Apr'!G8,0))&gt;0,IFERROR('📅 Apr'!G8,0),IFERROR('📅 Apr'!H8,0))+IF((IFERROR('📅 May'!G8,0))&gt;0,IFERROR('📅 May'!G8,0),IFERROR('📅 May'!H8,0))+IF((IFERROR('📅 Jun'!G8,0))&gt;0,IFERROR('📅 Jun'!G8,0),IFERROR('📅 Jun'!H8,0))</f>
        <v>425103.05240000004</v>
      </c>
      <c r="D22" s="101">
        <f>'⚙️ Setup'!E16</f>
        <v>727970.79</v>
      </c>
      <c r="E22" s="101">
        <f>'⚙️ Setup'!F16</f>
        <v>561144.15</v>
      </c>
      <c r="F22" s="104">
        <f>'⚙️ Setup'!F16*0.75</f>
        <v>420858.11250000005</v>
      </c>
      <c r="G22" s="89">
        <f>'⚙️ Setup'!F16</f>
        <v>561144.15</v>
      </c>
      <c r="H22" s="90">
        <f>'⚙️ Setup'!F16</f>
        <v>561144.15</v>
      </c>
    </row>
    <row r="23" spans="1:8" ht="18" customHeight="1" x14ac:dyDescent="0.35">
      <c r="A23" s="86" t="s">
        <v>236</v>
      </c>
      <c r="B23" s="87">
        <f>IF((IFERROR('📅 Mar'!G8,0)+IFERROR('📅 Apr'!G8,0)+IFERROR('📅 May'!G8,0)+IFERROR('📅 Jun'!G8,0)+IFERROR('📅 Jul'!G8,0))=0,"",IFERROR('📅 Mar'!G8,0)+IFERROR('📅 Apr'!G8,0)+IFERROR('📅 May'!G8,0)+IFERROR('📅 Jun'!G8,0)+IFERROR('📅 Jul'!G8,0))</f>
        <v>139671.71</v>
      </c>
      <c r="C23" s="87">
        <f>IF((IFERROR('📅 Mar'!G8,0))&gt;0,IFERROR('📅 Mar'!G8,0),IFERROR('📅 Mar'!H8,0))+IF((IFERROR('📅 Apr'!G8,0))&gt;0,IFERROR('📅 Apr'!G8,0),IFERROR('📅 Apr'!H8,0))+IF((IFERROR('📅 May'!G8,0))&gt;0,IFERROR('📅 May'!G8,0),IFERROR('📅 May'!H8,0))+IF((IFERROR('📅 Jun'!G8,0))&gt;0,IFERROR('📅 Jun'!G8,0),IFERROR('📅 Jun'!H8,0))+IF((IFERROR('📅 Jul'!G8,0))&gt;0,IFERROR('📅 Jul'!G8,0),IFERROR('📅 Jul'!H8,0))</f>
        <v>532123.98920000007</v>
      </c>
      <c r="D23" s="87">
        <f>'⚙️ Setup'!E16</f>
        <v>727970.79</v>
      </c>
      <c r="E23" s="87">
        <f>'⚙️ Setup'!F16</f>
        <v>561144.15</v>
      </c>
      <c r="F23" s="88">
        <f>'⚙️ Setup'!F16*0.75</f>
        <v>420858.11250000005</v>
      </c>
      <c r="G23" s="89">
        <f>'⚙️ Setup'!F16</f>
        <v>561144.15</v>
      </c>
      <c r="H23" s="90">
        <f>'⚙️ Setup'!F16</f>
        <v>561144.15</v>
      </c>
    </row>
    <row r="24" spans="1:8" ht="18" customHeight="1" x14ac:dyDescent="0.35">
      <c r="A24" s="91" t="s">
        <v>237</v>
      </c>
      <c r="B24" s="92">
        <f>IF((IFERROR('📅 Mar'!G8,0)+IFERROR('📅 Apr'!G8,0)+IFERROR('📅 May'!G8,0)+IFERROR('📅 Jun'!G8,0)+IFERROR('📅 Jul'!G8,0)+IFERROR('📅 Aug'!G8,0))=0,"",IFERROR('📅 Mar'!G8,0)+IFERROR('📅 Apr'!G8,0)+IFERROR('📅 May'!G8,0)+IFERROR('📅 Jun'!G8,0)+IFERROR('📅 Jul'!G8,0)+IFERROR('📅 Aug'!G8,0))</f>
        <v>139671.71</v>
      </c>
      <c r="C24" s="92">
        <f>IF((IFERROR('📅 Mar'!G8,0))&gt;0,IFERROR('📅 Mar'!G8,0),IFERROR('📅 Mar'!H8,0))+IF((IFERROR('📅 Apr'!G8,0))&gt;0,IFERROR('📅 Apr'!G8,0),IFERROR('📅 Apr'!H8,0))+IF((IFERROR('📅 May'!G8,0))&gt;0,IFERROR('📅 May'!G8,0),IFERROR('📅 May'!H8,0))+IF((IFERROR('📅 Jun'!G8,0))&gt;0,IFERROR('📅 Jun'!G8,0),IFERROR('📅 Jun'!H8,0))+IF((IFERROR('📅 Jul'!G8,0))&gt;0,IFERROR('📅 Jul'!G8,0),IFERROR('📅 Jul'!H8,0))+IF((IFERROR('📅 Aug'!G8,0))&gt;0,IFERROR('📅 Aug'!G8,0),IFERROR('📅 Aug'!H8,0))</f>
        <v>631706.38280000002</v>
      </c>
      <c r="D24" s="92">
        <f>'⚙️ Setup'!E16</f>
        <v>727970.79</v>
      </c>
      <c r="E24" s="92">
        <f>'⚙️ Setup'!F16</f>
        <v>561144.15</v>
      </c>
      <c r="F24" s="88">
        <f>'⚙️ Setup'!F16*0.75</f>
        <v>420858.11250000005</v>
      </c>
      <c r="G24" s="89">
        <f>'⚙️ Setup'!F16</f>
        <v>561144.15</v>
      </c>
      <c r="H24" s="90">
        <f>'⚙️ Setup'!F16</f>
        <v>561144.15</v>
      </c>
    </row>
    <row r="25" spans="1:8" ht="18" customHeight="1" x14ac:dyDescent="0.35">
      <c r="A25" s="86" t="s">
        <v>238</v>
      </c>
      <c r="B25" s="87">
        <f>IF((IFERROR('📅 Mar'!G8,0)+IFERROR('📅 Apr'!G8,0)+IFERROR('📅 May'!G8,0)+IFERROR('📅 Jun'!G8,0)+IFERROR('📅 Jul'!G8,0)+IFERROR('📅 Aug'!G8,0)+IFERROR('📅 Sep'!G8,0))=0,"",IFERROR('📅 Mar'!G8,0)+IFERROR('📅 Apr'!G8,0)+IFERROR('📅 May'!G8,0)+IFERROR('📅 Jun'!G8,0)+IFERROR('📅 Jul'!G8,0)+IFERROR('📅 Aug'!G8,0)+IFERROR('📅 Sep'!G8,0))</f>
        <v>139671.71</v>
      </c>
      <c r="C25" s="87">
        <f>IF((IFERROR('📅 Mar'!G8,0))&gt;0,IFERROR('📅 Mar'!G8,0),IFERROR('📅 Mar'!H8,0))+IF((IFERROR('📅 Apr'!G8,0))&gt;0,IFERROR('📅 Apr'!G8,0),IFERROR('📅 Apr'!H8,0))+IF((IFERROR('📅 May'!G8,0))&gt;0,IFERROR('📅 May'!G8,0),IFERROR('📅 May'!H8,0))+IF((IFERROR('📅 Jun'!G8,0))&gt;0,IFERROR('📅 Jun'!G8,0),IFERROR('📅 Jun'!H8,0))+IF((IFERROR('📅 Jul'!G8,0))&gt;0,IFERROR('📅 Jul'!G8,0),IFERROR('📅 Jul'!H8,0))+IF((IFERROR('📅 Aug'!G8,0))&gt;0,IFERROR('📅 Aug'!G8,0),IFERROR('📅 Aug'!H8,0))+IF((IFERROR('📅 Sep'!G8,0))&gt;0,IFERROR('📅 Sep'!G8,0),IFERROR('📅 Sep'!H8,0))</f>
        <v>733985.01800000004</v>
      </c>
      <c r="D25" s="87">
        <f>'⚙️ Setup'!E16</f>
        <v>727970.79</v>
      </c>
      <c r="E25" s="87">
        <f>'⚙️ Setup'!F16</f>
        <v>561144.15</v>
      </c>
      <c r="F25" s="88">
        <f>'⚙️ Setup'!F16*0.75</f>
        <v>420858.11250000005</v>
      </c>
      <c r="G25" s="89">
        <f>'⚙️ Setup'!F16</f>
        <v>561144.15</v>
      </c>
      <c r="H25" s="90">
        <f>'⚙️ Setup'!F16</f>
        <v>561144.15</v>
      </c>
    </row>
    <row r="26" spans="1:8" ht="18" customHeight="1" x14ac:dyDescent="0.35">
      <c r="A26" s="91" t="s">
        <v>239</v>
      </c>
      <c r="B26" s="92">
        <f>IF((IFERROR('📅 Mar'!G8,0)+IFERROR('📅 Apr'!G8,0)+IFERROR('📅 May'!G8,0)+IFERROR('📅 Jun'!G8,0)+IFERROR('📅 Jul'!G8,0)+IFERROR('📅 Aug'!G8,0)+IFERROR('📅 Sep'!G8,0)+IFERROR('📅 Oct'!G8,0))=0,"",IFERROR('📅 Mar'!G8,0)+IFERROR('📅 Apr'!G8,0)+IFERROR('📅 May'!G8,0)+IFERROR('📅 Jun'!G8,0)+IFERROR('📅 Jul'!G8,0)+IFERROR('📅 Aug'!G8,0)+IFERROR('📅 Sep'!G8,0)+IFERROR('📅 Oct'!G8,0))</f>
        <v>139671.71</v>
      </c>
      <c r="C26" s="92">
        <f>IF((IFERROR('📅 Mar'!G8,0))&gt;0,IFERROR('📅 Mar'!G8,0),IFERROR('📅 Mar'!H8,0))+IF((IFERROR('📅 Apr'!G8,0))&gt;0,IFERROR('📅 Apr'!G8,0),IFERROR('📅 Apr'!H8,0))+IF((IFERROR('📅 May'!G8,0))&gt;0,IFERROR('📅 May'!G8,0),IFERROR('📅 May'!H8,0))+IF((IFERROR('📅 Jun'!G8,0))&gt;0,IFERROR('📅 Jun'!G8,0),IFERROR('📅 Jun'!H8,0))+IF((IFERROR('📅 Jul'!G8,0))&gt;0,IFERROR('📅 Jul'!G8,0),IFERROR('📅 Jul'!H8,0))+IF((IFERROR('📅 Aug'!G8,0))&gt;0,IFERROR('📅 Aug'!G8,0),IFERROR('📅 Aug'!H8,0))+IF((IFERROR('📅 Sep'!G8,0))&gt;0,IFERROR('📅 Sep'!G8,0),IFERROR('📅 Sep'!H8,0))+IF((IFERROR('📅 Oct'!G8,0))&gt;0,IFERROR('📅 Oct'!G8,0),IFERROR('📅 Oct'!H8,0))</f>
        <v>823629.81320000009</v>
      </c>
      <c r="D26" s="92">
        <f>'⚙️ Setup'!E16</f>
        <v>727970.79</v>
      </c>
      <c r="E26" s="92">
        <f>'⚙️ Setup'!F16</f>
        <v>561144.15</v>
      </c>
      <c r="F26" s="88">
        <f>'⚙️ Setup'!F16*0.75</f>
        <v>420858.11250000005</v>
      </c>
      <c r="G26" s="89">
        <f>'⚙️ Setup'!F16</f>
        <v>561144.15</v>
      </c>
      <c r="H26" s="90">
        <f>'⚙️ Setup'!F16</f>
        <v>561144.15</v>
      </c>
    </row>
    <row r="27" spans="1:8" ht="18" customHeight="1" x14ac:dyDescent="0.35">
      <c r="A27" s="86" t="s">
        <v>240</v>
      </c>
      <c r="B27" s="87">
        <f>IF((IFERROR('📅 Mar'!G8,0)+IFERROR('📅 Apr'!G8,0)+IFERROR('📅 May'!G8,0)+IFERROR('📅 Jun'!G8,0)+IFERROR('📅 Jul'!G8,0)+IFERROR('📅 Aug'!G8,0)+IFERROR('📅 Sep'!G8,0)+IFERROR('📅 Oct'!G8,0)+IFERROR('📅 Nov'!G8,0))=0,"",IFERROR('📅 Mar'!G8,0)+IFERROR('📅 Apr'!G8,0)+IFERROR('📅 May'!G8,0)+IFERROR('📅 Jun'!G8,0)+IFERROR('📅 Jul'!G8,0)+IFERROR('📅 Aug'!G8,0)+IFERROR('📅 Sep'!G8,0)+IFERROR('📅 Oct'!G8,0)+IFERROR('📅 Nov'!G8,0))</f>
        <v>139671.71</v>
      </c>
      <c r="C27" s="87">
        <f>IF((IFERROR('📅 Mar'!G8,0))&gt;0,IFERROR('📅 Mar'!G8,0),IFERROR('📅 Mar'!H8,0))+IF((IFERROR('📅 Apr'!G8,0))&gt;0,IFERROR('📅 Apr'!G8,0),IFERROR('📅 Apr'!H8,0))+IF((IFERROR('📅 May'!G8,0))&gt;0,IFERROR('📅 May'!G8,0),IFERROR('📅 May'!H8,0))+IF((IFERROR('📅 Jun'!G8,0))&gt;0,IFERROR('📅 Jun'!G8,0),IFERROR('📅 Jun'!H8,0))+IF((IFERROR('📅 Jul'!G8,0))&gt;0,IFERROR('📅 Jul'!G8,0),IFERROR('📅 Jul'!H8,0))+IF((IFERROR('📅 Aug'!G8,0))&gt;0,IFERROR('📅 Aug'!G8,0),IFERROR('📅 Aug'!H8,0))+IF((IFERROR('📅 Sep'!G8,0))&gt;0,IFERROR('📅 Sep'!G8,0),IFERROR('📅 Sep'!H8,0))+IF((IFERROR('📅 Oct'!G8,0))&gt;0,IFERROR('📅 Oct'!G8,0),IFERROR('📅 Oct'!H8,0))+IF((IFERROR('📅 Nov'!G8,0))&gt;0,IFERROR('📅 Nov'!G8,0),IFERROR('📅 Nov'!H8,0))</f>
        <v>887330.26520000014</v>
      </c>
      <c r="D27" s="87">
        <f>'⚙️ Setup'!E16</f>
        <v>727970.79</v>
      </c>
      <c r="E27" s="87">
        <f>'⚙️ Setup'!F16</f>
        <v>561144.15</v>
      </c>
      <c r="F27" s="88">
        <f>'⚙️ Setup'!F16*0.75</f>
        <v>420858.11250000005</v>
      </c>
      <c r="G27" s="89">
        <f>'⚙️ Setup'!F16</f>
        <v>561144.15</v>
      </c>
      <c r="H27" s="90">
        <f>'⚙️ Setup'!F16</f>
        <v>561144.15</v>
      </c>
    </row>
    <row r="28" spans="1:8" ht="18" customHeight="1" x14ac:dyDescent="0.35">
      <c r="A28" s="91" t="s">
        <v>241</v>
      </c>
      <c r="B28" s="92">
        <f>IF((IFERROR('📅 Mar'!G8,0)+IFERROR('📅 Apr'!G8,0)+IFERROR('📅 May'!G8,0)+IFERROR('📅 Jun'!G8,0)+IFERROR('📅 Jul'!G8,0)+IFERROR('📅 Aug'!G8,0)+IFERROR('📅 Sep'!G8,0)+IFERROR('📅 Oct'!G8,0)+IFERROR('📅 Nov'!G8,0)+IFERROR('📅 Dec'!G8,0))=0,"",IFERROR('📅 Mar'!G8,0)+IFERROR('📅 Apr'!G8,0)+IFERROR('📅 May'!G8,0)+IFERROR('📅 Jun'!G8,0)+IFERROR('📅 Jul'!G8,0)+IFERROR('📅 Aug'!G8,0)+IFERROR('📅 Sep'!G8,0)+IFERROR('📅 Oct'!G8,0)+IFERROR('📅 Nov'!G8,0)+IFERROR('📅 Dec'!G8,0))</f>
        <v>139671.71</v>
      </c>
      <c r="C28" s="92">
        <f>IF((IFERROR('📅 Mar'!G8,0))&gt;0,IFERROR('📅 Mar'!G8,0),IFERROR('📅 Mar'!H8,0))+IF((IFERROR('📅 Apr'!G8,0))&gt;0,IFERROR('📅 Apr'!G8,0),IFERROR('📅 Apr'!H8,0))+IF((IFERROR('📅 May'!G8,0))&gt;0,IFERROR('📅 May'!G8,0),IFERROR('📅 May'!H8,0))+IF((IFERROR('📅 Jun'!G8,0))&gt;0,IFERROR('📅 Jun'!G8,0),IFERROR('📅 Jun'!H8,0))+IF((IFERROR('📅 Jul'!G8,0))&gt;0,IFERROR('📅 Jul'!G8,0),IFERROR('📅 Jul'!H8,0))+IF((IFERROR('📅 Aug'!G8,0))&gt;0,IFERROR('📅 Aug'!G8,0),IFERROR('📅 Aug'!H8,0))+IF((IFERROR('📅 Sep'!G8,0))&gt;0,IFERROR('📅 Sep'!G8,0),IFERROR('📅 Sep'!H8,0))+IF((IFERROR('📅 Oct'!G8,0))&gt;0,IFERROR('📅 Oct'!G8,0),IFERROR('📅 Oct'!H8,0))+IF((IFERROR('📅 Nov'!G8,0))&gt;0,IFERROR('📅 Nov'!G8,0),IFERROR('📅 Nov'!H8,0))+IF((IFERROR('📅 Dec'!G8,0))&gt;0,IFERROR('📅 Dec'!G8,0),IFERROR('📅 Dec'!H8,0))</f>
        <v>956159.68040000019</v>
      </c>
      <c r="D28" s="92">
        <f>'⚙️ Setup'!E16</f>
        <v>727970.79</v>
      </c>
      <c r="E28" s="92">
        <f>'⚙️ Setup'!F16</f>
        <v>561144.15</v>
      </c>
      <c r="F28" s="88">
        <f>'⚙️ Setup'!F16*0.75</f>
        <v>420858.11250000005</v>
      </c>
      <c r="G28" s="89">
        <f>'⚙️ Setup'!F16</f>
        <v>561144.15</v>
      </c>
      <c r="H28" s="90">
        <f>'⚙️ Setup'!F16</f>
        <v>561144.15</v>
      </c>
    </row>
    <row r="29" spans="1:8" ht="18" customHeight="1" x14ac:dyDescent="0.35">
      <c r="A29" s="86" t="s">
        <v>242</v>
      </c>
      <c r="B29" s="87">
        <f>IF((IFERROR('📅 Mar'!G8,0)+IFERROR('📅 Apr'!G8,0)+IFERROR('📅 May'!G8,0)+IFERROR('📅 Jun'!G8,0)+IFERROR('📅 Jul'!G8,0)+IFERROR('📅 Aug'!G8,0)+IFERROR('📅 Sep'!G8,0)+IFERROR('📅 Oct'!G8,0)+IFERROR('📅 Nov'!G8,0)+IFERROR('📅 Dec'!G8,0)+IFERROR('📅 Jan'!G8,0))=0,"",IFERROR('📅 Mar'!G8,0)+IFERROR('📅 Apr'!G8,0)+IFERROR('📅 May'!G8,0)+IFERROR('📅 Jun'!G8,0)+IFERROR('📅 Jul'!G8,0)+IFERROR('📅 Aug'!G8,0)+IFERROR('📅 Sep'!G8,0)+IFERROR('📅 Oct'!G8,0)+IFERROR('📅 Nov'!G8,0)+IFERROR('📅 Dec'!G8,0)+IFERROR('📅 Jan'!G8,0))</f>
        <v>139671.71</v>
      </c>
      <c r="C29" s="87">
        <f>IF((IFERROR('📅 Mar'!G8,0))&gt;0,IFERROR('📅 Mar'!G8,0),IFERROR('📅 Mar'!H8,0))+IF((IFERROR('📅 Apr'!G8,0))&gt;0,IFERROR('📅 Apr'!G8,0),IFERROR('📅 Apr'!H8,0))+IF((IFERROR('📅 May'!G8,0))&gt;0,IFERROR('📅 May'!G8,0),IFERROR('📅 May'!H8,0))+IF((IFERROR('📅 Jun'!G8,0))&gt;0,IFERROR('📅 Jun'!G8,0),IFERROR('📅 Jun'!H8,0))+IF((IFERROR('📅 Jul'!G8,0))&gt;0,IFERROR('📅 Jul'!G8,0),IFERROR('📅 Jul'!H8,0))+IF((IFERROR('📅 Aug'!G8,0))&gt;0,IFERROR('📅 Aug'!G8,0),IFERROR('📅 Aug'!H8,0))+IF((IFERROR('📅 Sep'!G8,0))&gt;0,IFERROR('📅 Sep'!G8,0),IFERROR('📅 Sep'!H8,0))+IF((IFERROR('📅 Oct'!G8,0))&gt;0,IFERROR('📅 Oct'!G8,0),IFERROR('📅 Oct'!H8,0))+IF((IFERROR('📅 Nov'!G8,0))&gt;0,IFERROR('📅 Nov'!G8,0),IFERROR('📅 Nov'!H8,0))+IF((IFERROR('📅 Dec'!G8,0))&gt;0,IFERROR('📅 Dec'!G8,0),IFERROR('📅 Dec'!H8,0))+IF((IFERROR('📅 Jan'!G8,0))&gt;0,IFERROR('📅 Jan'!G8,0),IFERROR('📅 Jan'!H8,0))</f>
        <v>1019860.1324000002</v>
      </c>
      <c r="D29" s="87">
        <f>'⚙️ Setup'!E16</f>
        <v>727970.79</v>
      </c>
      <c r="E29" s="87">
        <f>'⚙️ Setup'!F16</f>
        <v>561144.15</v>
      </c>
      <c r="F29" s="88">
        <f>'⚙️ Setup'!F16*0.75</f>
        <v>420858.11250000005</v>
      </c>
      <c r="G29" s="89">
        <f>'⚙️ Setup'!F16</f>
        <v>561144.15</v>
      </c>
      <c r="H29" s="90">
        <f>'⚙️ Setup'!F16</f>
        <v>561144.15</v>
      </c>
    </row>
    <row r="30" spans="1:8" ht="18" customHeight="1" x14ac:dyDescent="0.35">
      <c r="A30" s="91" t="s">
        <v>243</v>
      </c>
      <c r="B30" s="92">
        <f>IF((IFERROR('📅 Mar'!G8,0)+IFERROR('📅 Apr'!G8,0)+IFERROR('📅 May'!G8,0)+IFERROR('📅 Jun'!G8,0)+IFERROR('📅 Jul'!G8,0)+IFERROR('📅 Aug'!G8,0)+IFERROR('📅 Sep'!G8,0)+IFERROR('📅 Oct'!G8,0)+IFERROR('📅 Nov'!G8,0)+IFERROR('📅 Dec'!G8,0)+IFERROR('📅 Jan'!G8,0)+IFERROR('📅 Feb-E'!G8,0))=0,"",IFERROR('📅 Mar'!G8,0)+IFERROR('📅 Apr'!G8,0)+IFERROR('📅 May'!G8,0)+IFERROR('📅 Jun'!G8,0)+IFERROR('📅 Jul'!G8,0)+IFERROR('📅 Aug'!G8,0)+IFERROR('📅 Sep'!G8,0)+IFERROR('📅 Oct'!G8,0)+IFERROR('📅 Nov'!G8,0)+IFERROR('📅 Dec'!G8,0)+IFERROR('📅 Jan'!G8,0)+IFERROR('📅 Feb-E'!G8,0))</f>
        <v>139671.71</v>
      </c>
      <c r="C30" s="92">
        <f>IF((IFERROR('📅 Mar'!G8,0))&gt;0,IFERROR('📅 Mar'!G8,0),IFERROR('📅 Mar'!H8,0))+IF((IFERROR('📅 Apr'!G8,0))&gt;0,IFERROR('📅 Apr'!G8,0),IFERROR('📅 Apr'!H8,0))+IF((IFERROR('📅 May'!G8,0))&gt;0,IFERROR('📅 May'!G8,0),IFERROR('📅 May'!H8,0))+IF((IFERROR('📅 Jun'!G8,0))&gt;0,IFERROR('📅 Jun'!G8,0),IFERROR('📅 Jun'!H8,0))+IF((IFERROR('📅 Jul'!G8,0))&gt;0,IFERROR('📅 Jul'!G8,0),IFERROR('📅 Jul'!H8,0))+IF((IFERROR('📅 Aug'!G8,0))&gt;0,IFERROR('📅 Aug'!G8,0),IFERROR('📅 Aug'!H8,0))+IF((IFERROR('📅 Sep'!G8,0))&gt;0,IFERROR('📅 Sep'!G8,0),IFERROR('📅 Sep'!H8,0))+IF((IFERROR('📅 Oct'!G8,0))&gt;0,IFERROR('📅 Oct'!G8,0),IFERROR('📅 Oct'!H8,0))+IF((IFERROR('📅 Nov'!G8,0))&gt;0,IFERROR('📅 Nov'!G8,0),IFERROR('📅 Nov'!H8,0))+IF((IFERROR('📅 Dec'!G8,0))&gt;0,IFERROR('📅 Dec'!G8,0),IFERROR('📅 Dec'!H8,0))+IF((IFERROR('📅 Jan'!G8,0))&gt;0,IFERROR('📅 Jan'!G8,0),IFERROR('📅 Jan'!H8,0))+IF((IFERROR('📅 Feb-E'!G8,0))&gt;0,IFERROR('📅 Feb-E'!G8,0),IFERROR('📅 Feb-E'!H8,0))</f>
        <v>1075177.0196000002</v>
      </c>
      <c r="D30" s="92">
        <f>'⚙️ Setup'!E16</f>
        <v>727970.79</v>
      </c>
      <c r="E30" s="92">
        <f>'⚙️ Setup'!F16</f>
        <v>561144.15</v>
      </c>
      <c r="F30" s="88">
        <f>'⚙️ Setup'!F16*0.75</f>
        <v>420858.11250000005</v>
      </c>
      <c r="G30" s="89">
        <f>'⚙️ Setup'!F16</f>
        <v>561144.15</v>
      </c>
      <c r="H30" s="90">
        <f>'⚙️ Setup'!F16</f>
        <v>561144.15</v>
      </c>
    </row>
    <row r="31" spans="1:8" ht="19.5" customHeight="1" x14ac:dyDescent="0.35">
      <c r="A31" s="107" t="s">
        <v>244</v>
      </c>
      <c r="B31" s="108"/>
      <c r="C31" s="116" t="str" cm="1">
        <f t="array" ref="C31">IFERROR(INDEX(A19:A30,_xlfn.AGGREGATE(15,6,(ROW(A19:A30)-ROW(A19)+1)/(C19:C30&gt;='⚙️ Setup'!F16*0.75),1)),"Not yet projected")</f>
        <v>Jun</v>
      </c>
      <c r="D31" s="110"/>
      <c r="E31" s="108"/>
    </row>
    <row r="32" spans="1:8" ht="19.5" customHeight="1" x14ac:dyDescent="0.35">
      <c r="A32" s="111" t="s">
        <v>245</v>
      </c>
      <c r="B32" s="108"/>
      <c r="C32" s="109" t="str" cm="1">
        <f t="array" ref="C32">IFERROR(INDEX(A19:A30,_xlfn.AGGREGATE(15,6,(ROW(A19:A30)-ROW(A19)+1)/(C19:C30&gt;='⚙️ Setup'!F16),1)),"Not yet projected")</f>
        <v>Aug</v>
      </c>
      <c r="D32" s="110"/>
      <c r="E32" s="110"/>
    </row>
    <row r="33" spans="1:8" ht="19.5" customHeight="1" x14ac:dyDescent="0.35">
      <c r="A33" s="114" t="s">
        <v>247</v>
      </c>
      <c r="B33" s="115"/>
      <c r="C33" s="115"/>
      <c r="D33" s="115"/>
      <c r="E33" s="115"/>
      <c r="F33" s="115"/>
      <c r="G33" s="115"/>
    </row>
    <row r="34" spans="1:8" ht="24" customHeight="1" x14ac:dyDescent="0.35">
      <c r="A34" s="41" t="s">
        <v>203</v>
      </c>
      <c r="B34" s="93" t="s">
        <v>228</v>
      </c>
      <c r="C34" s="93" t="s">
        <v>229</v>
      </c>
      <c r="D34" s="93" t="s">
        <v>220</v>
      </c>
      <c r="E34" s="93" t="s">
        <v>221</v>
      </c>
      <c r="F34" s="93" t="s">
        <v>230</v>
      </c>
      <c r="G34" s="41" t="s">
        <v>231</v>
      </c>
      <c r="H34" s="81" t="s">
        <v>232</v>
      </c>
    </row>
    <row r="35" spans="1:8" ht="18" customHeight="1" x14ac:dyDescent="0.35">
      <c r="A35" s="86" t="s">
        <v>233</v>
      </c>
      <c r="B35" s="87">
        <f>IF((IFERROR('📅 Mar'!G9,0))=0,"",IFERROR('📅 Mar'!G9,0))</f>
        <v>90434.31</v>
      </c>
      <c r="C35" s="87">
        <f>IF((IFERROR('📅 Mar'!G9,0))&gt;0,IFERROR('📅 Mar'!G9,0),IFERROR('📅 Mar'!H9,0))</f>
        <v>90434.31</v>
      </c>
      <c r="D35" s="87">
        <f>'⚙️ Setup'!E17</f>
        <v>869923.61</v>
      </c>
      <c r="E35" s="87">
        <f>'⚙️ Setup'!F17</f>
        <v>670566.12</v>
      </c>
      <c r="F35" s="88">
        <f>'⚙️ Setup'!F17*0.75</f>
        <v>502924.58999999997</v>
      </c>
      <c r="G35" s="89">
        <f>'⚙️ Setup'!F17</f>
        <v>670566.12</v>
      </c>
      <c r="H35" s="90">
        <f>'⚙️ Setup'!F17</f>
        <v>670566.12</v>
      </c>
    </row>
    <row r="36" spans="1:8" ht="18" customHeight="1" x14ac:dyDescent="0.35">
      <c r="A36" s="91" t="s">
        <v>234</v>
      </c>
      <c r="B36" s="92">
        <f>IF((IFERROR('📅 Mar'!G9,0)+IFERROR('📅 Apr'!G9,0))=0,"",IFERROR('📅 Mar'!G9,0)+IFERROR('📅 Apr'!G9,0))</f>
        <v>90434.31</v>
      </c>
      <c r="C36" s="92">
        <f>IF((IFERROR('📅 Mar'!G9,0))&gt;0,IFERROR('📅 Mar'!G9,0),IFERROR('📅 Mar'!H9,0))+IF((IFERROR('📅 Apr'!G9,0))&gt;0,IFERROR('📅 Apr'!G9,0),IFERROR('📅 Apr'!H9,0))</f>
        <v>176701.40519999998</v>
      </c>
      <c r="D36" s="92">
        <f>'⚙️ Setup'!E17</f>
        <v>869923.61</v>
      </c>
      <c r="E36" s="92">
        <f>'⚙️ Setup'!F17</f>
        <v>670566.12</v>
      </c>
      <c r="F36" s="88">
        <f>'⚙️ Setup'!F17*0.75</f>
        <v>502924.58999999997</v>
      </c>
      <c r="G36" s="89">
        <f>'⚙️ Setup'!F17</f>
        <v>670566.12</v>
      </c>
      <c r="H36" s="90">
        <f>'⚙️ Setup'!F17</f>
        <v>670566.12</v>
      </c>
    </row>
    <row r="37" spans="1:8" ht="18" customHeight="1" x14ac:dyDescent="0.35">
      <c r="A37" s="86" t="s">
        <v>139</v>
      </c>
      <c r="B37" s="87">
        <f>IF((IFERROR('📅 Mar'!G9,0)+IFERROR('📅 Apr'!G9,0)+IFERROR('📅 May'!G9,0))=0,"",IFERROR('📅 Mar'!G9,0)+IFERROR('📅 Apr'!G9,0)+IFERROR('📅 May'!G9,0))</f>
        <v>90434.31</v>
      </c>
      <c r="C37" s="87">
        <f>IF((IFERROR('📅 Mar'!G9,0))&gt;0,IFERROR('📅 Mar'!G9,0),IFERROR('📅 Mar'!H9,0))+IF((IFERROR('📅 Apr'!G9,0))&gt;0,IFERROR('📅 Apr'!G9,0),IFERROR('📅 Apr'!H9,0))+IF((IFERROR('📅 May'!G9,0))&gt;0,IFERROR('📅 May'!G9,0),IFERROR('📅 May'!H9,0))</f>
        <v>274237.19880000001</v>
      </c>
      <c r="D37" s="87">
        <f>'⚙️ Setup'!E17</f>
        <v>869923.61</v>
      </c>
      <c r="E37" s="87">
        <f>'⚙️ Setup'!F17</f>
        <v>670566.12</v>
      </c>
      <c r="F37" s="88">
        <f>'⚙️ Setup'!F17*0.75</f>
        <v>502924.58999999997</v>
      </c>
      <c r="G37" s="89">
        <f>'⚙️ Setup'!F17</f>
        <v>670566.12</v>
      </c>
      <c r="H37" s="90">
        <f>'⚙️ Setup'!F17</f>
        <v>670566.12</v>
      </c>
    </row>
    <row r="38" spans="1:8" ht="18" customHeight="1" x14ac:dyDescent="0.35">
      <c r="A38" s="91" t="s">
        <v>235</v>
      </c>
      <c r="B38" s="92">
        <f>IF((IFERROR('📅 Mar'!G9,0)+IFERROR('📅 Apr'!G9,0)+IFERROR('📅 May'!G9,0)+IFERROR('📅 Jun'!G9,0))=0,"",IFERROR('📅 Mar'!G9,0)+IFERROR('📅 Apr'!G9,0)+IFERROR('📅 May'!G9,0)+IFERROR('📅 Jun'!G9,0))</f>
        <v>90434.31</v>
      </c>
      <c r="C38" s="92">
        <f>IF((IFERROR('📅 Mar'!G9,0))&gt;0,IFERROR('📅 Mar'!G9,0),IFERROR('📅 Mar'!H9,0))+IF((IFERROR('📅 Apr'!G9,0))&gt;0,IFERROR('📅 Apr'!G9,0),IFERROR('📅 Apr'!H9,0))+IF((IFERROR('📅 May'!G9,0))&gt;0,IFERROR('📅 May'!G9,0),IFERROR('📅 May'!H9,0))+IF((IFERROR('📅 Jun'!G9,0))&gt;0,IFERROR('📅 Jun'!G9,0),IFERROR('📅 Jun'!H9,0))</f>
        <v>375865.65240000002</v>
      </c>
      <c r="D38" s="92">
        <f>'⚙️ Setup'!E17</f>
        <v>869923.61</v>
      </c>
      <c r="E38" s="92">
        <f>'⚙️ Setup'!F17</f>
        <v>670566.12</v>
      </c>
      <c r="F38" s="88">
        <f>'⚙️ Setup'!F17*0.75</f>
        <v>502924.58999999997</v>
      </c>
      <c r="G38" s="89">
        <f>'⚙️ Setup'!F17</f>
        <v>670566.12</v>
      </c>
      <c r="H38" s="90">
        <f>'⚙️ Setup'!F17</f>
        <v>670566.12</v>
      </c>
    </row>
    <row r="39" spans="1:8" ht="18" customHeight="1" x14ac:dyDescent="0.35">
      <c r="A39" s="86" t="s">
        <v>236</v>
      </c>
      <c r="B39" s="87">
        <f>IF((IFERROR('📅 Mar'!G9,0)+IFERROR('📅 Apr'!G9,0)+IFERROR('📅 May'!G9,0)+IFERROR('📅 Jun'!G9,0)+IFERROR('📅 Jul'!G9,0))=0,"",IFERROR('📅 Mar'!G9,0)+IFERROR('📅 Apr'!G9,0)+IFERROR('📅 May'!G9,0)+IFERROR('📅 Jun'!G9,0)+IFERROR('📅 Jul'!G9,0))</f>
        <v>90434.31</v>
      </c>
      <c r="C39" s="87">
        <f>IF((IFERROR('📅 Mar'!G9,0))&gt;0,IFERROR('📅 Mar'!G9,0),IFERROR('📅 Mar'!H9,0))+IF((IFERROR('📅 Apr'!G9,0))&gt;0,IFERROR('📅 Apr'!G9,0),IFERROR('📅 Apr'!H9,0))+IF((IFERROR('📅 May'!G9,0))&gt;0,IFERROR('📅 May'!G9,0),IFERROR('📅 May'!H9,0))+IF((IFERROR('📅 Jun'!G9,0))&gt;0,IFERROR('📅 Jun'!G9,0),IFERROR('📅 Jun'!H9,0))+IF((IFERROR('📅 Jul'!G9,0))&gt;0,IFERROR('📅 Jul'!G9,0),IFERROR('📅 Jul'!H9,0))</f>
        <v>482886.58920000005</v>
      </c>
      <c r="D39" s="87">
        <f>'⚙️ Setup'!E17</f>
        <v>869923.61</v>
      </c>
      <c r="E39" s="87">
        <f>'⚙️ Setup'!F17</f>
        <v>670566.12</v>
      </c>
      <c r="F39" s="88">
        <f>'⚙️ Setup'!F17*0.75</f>
        <v>502924.58999999997</v>
      </c>
      <c r="G39" s="89">
        <f>'⚙️ Setup'!F17</f>
        <v>670566.12</v>
      </c>
      <c r="H39" s="90">
        <f>'⚙️ Setup'!F17</f>
        <v>670566.12</v>
      </c>
    </row>
    <row r="40" spans="1:8" ht="18" customHeight="1" x14ac:dyDescent="0.35">
      <c r="A40" s="91" t="s">
        <v>237</v>
      </c>
      <c r="B40" s="92">
        <f>IF((IFERROR('📅 Mar'!G9,0)+IFERROR('📅 Apr'!G9,0)+IFERROR('📅 May'!G9,0)+IFERROR('📅 Jun'!G9,0)+IFERROR('📅 Jul'!G9,0)+IFERROR('📅 Aug'!G9,0))=0,"",IFERROR('📅 Mar'!G9,0)+IFERROR('📅 Apr'!G9,0)+IFERROR('📅 May'!G9,0)+IFERROR('📅 Jun'!G9,0)+IFERROR('📅 Jul'!G9,0)+IFERROR('📅 Aug'!G9,0))</f>
        <v>90434.31</v>
      </c>
      <c r="C40" s="92">
        <f>IF((IFERROR('📅 Mar'!G9,0))&gt;0,IFERROR('📅 Mar'!G9,0),IFERROR('📅 Mar'!H9,0))+IF((IFERROR('📅 Apr'!G9,0))&gt;0,IFERROR('📅 Apr'!G9,0),IFERROR('📅 Apr'!H9,0))+IF((IFERROR('📅 May'!G9,0))&gt;0,IFERROR('📅 May'!G9,0),IFERROR('📅 May'!H9,0))+IF((IFERROR('📅 Jun'!G9,0))&gt;0,IFERROR('📅 Jun'!G9,0),IFERROR('📅 Jun'!H9,0))+IF((IFERROR('📅 Jul'!G9,0))&gt;0,IFERROR('📅 Jul'!G9,0),IFERROR('📅 Jul'!H9,0))+IF((IFERROR('📅 Aug'!G9,0))&gt;0,IFERROR('📅 Aug'!G9,0),IFERROR('📅 Aug'!H9,0))</f>
        <v>582468.9828</v>
      </c>
      <c r="D40" s="92">
        <f>'⚙️ Setup'!E17</f>
        <v>869923.61</v>
      </c>
      <c r="E40" s="92">
        <f>'⚙️ Setup'!F17</f>
        <v>670566.12</v>
      </c>
      <c r="F40" s="88">
        <f>'⚙️ Setup'!F17*0.75</f>
        <v>502924.58999999997</v>
      </c>
      <c r="G40" s="89">
        <f>'⚙️ Setup'!F17</f>
        <v>670566.12</v>
      </c>
      <c r="H40" s="90">
        <f>'⚙️ Setup'!F17</f>
        <v>670566.12</v>
      </c>
    </row>
    <row r="41" spans="1:8" ht="18" customHeight="1" x14ac:dyDescent="0.35">
      <c r="A41" s="86" t="s">
        <v>238</v>
      </c>
      <c r="B41" s="87">
        <f>IF((IFERROR('📅 Mar'!G9,0)+IFERROR('📅 Apr'!G9,0)+IFERROR('📅 May'!G9,0)+IFERROR('📅 Jun'!G9,0)+IFERROR('📅 Jul'!G9,0)+IFERROR('📅 Aug'!G9,0)+IFERROR('📅 Sep'!G9,0))=0,"",IFERROR('📅 Mar'!G9,0)+IFERROR('📅 Apr'!G9,0)+IFERROR('📅 May'!G9,0)+IFERROR('📅 Jun'!G9,0)+IFERROR('📅 Jul'!G9,0)+IFERROR('📅 Aug'!G9,0)+IFERROR('📅 Sep'!G9,0))</f>
        <v>90434.31</v>
      </c>
      <c r="C41" s="87">
        <f>IF((IFERROR('📅 Mar'!G9,0))&gt;0,IFERROR('📅 Mar'!G9,0),IFERROR('📅 Mar'!H9,0))+IF((IFERROR('📅 Apr'!G9,0))&gt;0,IFERROR('📅 Apr'!G9,0),IFERROR('📅 Apr'!H9,0))+IF((IFERROR('📅 May'!G9,0))&gt;0,IFERROR('📅 May'!G9,0),IFERROR('📅 May'!H9,0))+IF((IFERROR('📅 Jun'!G9,0))&gt;0,IFERROR('📅 Jun'!G9,0),IFERROR('📅 Jun'!H9,0))+IF((IFERROR('📅 Jul'!G9,0))&gt;0,IFERROR('📅 Jul'!G9,0),IFERROR('📅 Jul'!H9,0))+IF((IFERROR('📅 Aug'!G9,0))&gt;0,IFERROR('📅 Aug'!G9,0),IFERROR('📅 Aug'!H9,0))+IF((IFERROR('📅 Sep'!G9,0))&gt;0,IFERROR('📅 Sep'!G9,0),IFERROR('📅 Sep'!H9,0))</f>
        <v>684747.61800000002</v>
      </c>
      <c r="D41" s="87">
        <f>'⚙️ Setup'!E17</f>
        <v>869923.61</v>
      </c>
      <c r="E41" s="87">
        <f>'⚙️ Setup'!F17</f>
        <v>670566.12</v>
      </c>
      <c r="F41" s="88">
        <f>'⚙️ Setup'!F17*0.75</f>
        <v>502924.58999999997</v>
      </c>
      <c r="G41" s="89">
        <f>'⚙️ Setup'!F17</f>
        <v>670566.12</v>
      </c>
      <c r="H41" s="90">
        <f>'⚙️ Setup'!F17</f>
        <v>670566.12</v>
      </c>
    </row>
    <row r="42" spans="1:8" ht="18" customHeight="1" x14ac:dyDescent="0.35">
      <c r="A42" s="91" t="s">
        <v>239</v>
      </c>
      <c r="B42" s="92">
        <f>IF((IFERROR('📅 Mar'!G9,0)+IFERROR('📅 Apr'!G9,0)+IFERROR('📅 May'!G9,0)+IFERROR('📅 Jun'!G9,0)+IFERROR('📅 Jul'!G9,0)+IFERROR('📅 Aug'!G9,0)+IFERROR('📅 Sep'!G9,0)+IFERROR('📅 Oct'!G9,0))=0,"",IFERROR('📅 Mar'!G9,0)+IFERROR('📅 Apr'!G9,0)+IFERROR('📅 May'!G9,0)+IFERROR('📅 Jun'!G9,0)+IFERROR('📅 Jul'!G9,0)+IFERROR('📅 Aug'!G9,0)+IFERROR('📅 Sep'!G9,0)+IFERROR('📅 Oct'!G9,0))</f>
        <v>90434.31</v>
      </c>
      <c r="C42" s="92">
        <f>IF((IFERROR('📅 Mar'!G9,0))&gt;0,IFERROR('📅 Mar'!G9,0),IFERROR('📅 Mar'!H9,0))+IF((IFERROR('📅 Apr'!G9,0))&gt;0,IFERROR('📅 Apr'!G9,0),IFERROR('📅 Apr'!H9,0))+IF((IFERROR('📅 May'!G9,0))&gt;0,IFERROR('📅 May'!G9,0),IFERROR('📅 May'!H9,0))+IF((IFERROR('📅 Jun'!G9,0))&gt;0,IFERROR('📅 Jun'!G9,0),IFERROR('📅 Jun'!H9,0))+IF((IFERROR('📅 Jul'!G9,0))&gt;0,IFERROR('📅 Jul'!G9,0),IFERROR('📅 Jul'!H9,0))+IF((IFERROR('📅 Aug'!G9,0))&gt;0,IFERROR('📅 Aug'!G9,0),IFERROR('📅 Aug'!H9,0))+IF((IFERROR('📅 Sep'!G9,0))&gt;0,IFERROR('📅 Sep'!G9,0),IFERROR('📅 Sep'!H9,0))+IF((IFERROR('📅 Oct'!G9,0))&gt;0,IFERROR('📅 Oct'!G9,0),IFERROR('📅 Oct'!H9,0))</f>
        <v>774392.41320000007</v>
      </c>
      <c r="D42" s="92">
        <f>'⚙️ Setup'!E17</f>
        <v>869923.61</v>
      </c>
      <c r="E42" s="92">
        <f>'⚙️ Setup'!F17</f>
        <v>670566.12</v>
      </c>
      <c r="F42" s="88">
        <f>'⚙️ Setup'!F17*0.75</f>
        <v>502924.58999999997</v>
      </c>
      <c r="G42" s="89">
        <f>'⚙️ Setup'!F17</f>
        <v>670566.12</v>
      </c>
      <c r="H42" s="90">
        <f>'⚙️ Setup'!F17</f>
        <v>670566.12</v>
      </c>
    </row>
    <row r="43" spans="1:8" ht="18" customHeight="1" x14ac:dyDescent="0.35">
      <c r="A43" s="86" t="s">
        <v>240</v>
      </c>
      <c r="B43" s="87">
        <f>IF((IFERROR('📅 Mar'!G9,0)+IFERROR('📅 Apr'!G9,0)+IFERROR('📅 May'!G9,0)+IFERROR('📅 Jun'!G9,0)+IFERROR('📅 Jul'!G9,0)+IFERROR('📅 Aug'!G9,0)+IFERROR('📅 Sep'!G9,0)+IFERROR('📅 Oct'!G9,0)+IFERROR('📅 Nov'!G9,0))=0,"",IFERROR('📅 Mar'!G9,0)+IFERROR('📅 Apr'!G9,0)+IFERROR('📅 May'!G9,0)+IFERROR('📅 Jun'!G9,0)+IFERROR('📅 Jul'!G9,0)+IFERROR('📅 Aug'!G9,0)+IFERROR('📅 Sep'!G9,0)+IFERROR('📅 Oct'!G9,0)+IFERROR('📅 Nov'!G9,0))</f>
        <v>90434.31</v>
      </c>
      <c r="C43" s="87">
        <f>IF((IFERROR('📅 Mar'!G9,0))&gt;0,IFERROR('📅 Mar'!G9,0),IFERROR('📅 Mar'!H9,0))+IF((IFERROR('📅 Apr'!G9,0))&gt;0,IFERROR('📅 Apr'!G9,0),IFERROR('📅 Apr'!H9,0))+IF((IFERROR('📅 May'!G9,0))&gt;0,IFERROR('📅 May'!G9,0),IFERROR('📅 May'!H9,0))+IF((IFERROR('📅 Jun'!G9,0))&gt;0,IFERROR('📅 Jun'!G9,0),IFERROR('📅 Jun'!H9,0))+IF((IFERROR('📅 Jul'!G9,0))&gt;0,IFERROR('📅 Jul'!G9,0),IFERROR('📅 Jul'!H9,0))+IF((IFERROR('📅 Aug'!G9,0))&gt;0,IFERROR('📅 Aug'!G9,0),IFERROR('📅 Aug'!H9,0))+IF((IFERROR('📅 Sep'!G9,0))&gt;0,IFERROR('📅 Sep'!G9,0),IFERROR('📅 Sep'!H9,0))+IF((IFERROR('📅 Oct'!G9,0))&gt;0,IFERROR('📅 Oct'!G9,0),IFERROR('📅 Oct'!H9,0))+IF((IFERROR('📅 Nov'!G9,0))&gt;0,IFERROR('📅 Nov'!G9,0),IFERROR('📅 Nov'!H9,0))</f>
        <v>838092.86520000012</v>
      </c>
      <c r="D43" s="87">
        <f>'⚙️ Setup'!E17</f>
        <v>869923.61</v>
      </c>
      <c r="E43" s="87">
        <f>'⚙️ Setup'!F17</f>
        <v>670566.12</v>
      </c>
      <c r="F43" s="88">
        <f>'⚙️ Setup'!F17*0.75</f>
        <v>502924.58999999997</v>
      </c>
      <c r="G43" s="89">
        <f>'⚙️ Setup'!F17</f>
        <v>670566.12</v>
      </c>
      <c r="H43" s="90">
        <f>'⚙️ Setup'!F17</f>
        <v>670566.12</v>
      </c>
    </row>
    <row r="44" spans="1:8" ht="18" customHeight="1" x14ac:dyDescent="0.35">
      <c r="A44" s="91" t="s">
        <v>241</v>
      </c>
      <c r="B44" s="92">
        <f>IF((IFERROR('📅 Mar'!G9,0)+IFERROR('📅 Apr'!G9,0)+IFERROR('📅 May'!G9,0)+IFERROR('📅 Jun'!G9,0)+IFERROR('📅 Jul'!G9,0)+IFERROR('📅 Aug'!G9,0)+IFERROR('📅 Sep'!G9,0)+IFERROR('📅 Oct'!G9,0)+IFERROR('📅 Nov'!G9,0)+IFERROR('📅 Dec'!G9,0))=0,"",IFERROR('📅 Mar'!G9,0)+IFERROR('📅 Apr'!G9,0)+IFERROR('📅 May'!G9,0)+IFERROR('📅 Jun'!G9,0)+IFERROR('📅 Jul'!G9,0)+IFERROR('📅 Aug'!G9,0)+IFERROR('📅 Sep'!G9,0)+IFERROR('📅 Oct'!G9,0)+IFERROR('📅 Nov'!G9,0)+IFERROR('📅 Dec'!G9,0))</f>
        <v>90434.31</v>
      </c>
      <c r="C44" s="92">
        <f>IF((IFERROR('📅 Mar'!G9,0))&gt;0,IFERROR('📅 Mar'!G9,0),IFERROR('📅 Mar'!H9,0))+IF((IFERROR('📅 Apr'!G9,0))&gt;0,IFERROR('📅 Apr'!G9,0),IFERROR('📅 Apr'!H9,0))+IF((IFERROR('📅 May'!G9,0))&gt;0,IFERROR('📅 May'!G9,0),IFERROR('📅 May'!H9,0))+IF((IFERROR('📅 Jun'!G9,0))&gt;0,IFERROR('📅 Jun'!G9,0),IFERROR('📅 Jun'!H9,0))+IF((IFERROR('📅 Jul'!G9,0))&gt;0,IFERROR('📅 Jul'!G9,0),IFERROR('📅 Jul'!H9,0))+IF((IFERROR('📅 Aug'!G9,0))&gt;0,IFERROR('📅 Aug'!G9,0),IFERROR('📅 Aug'!H9,0))+IF((IFERROR('📅 Sep'!G9,0))&gt;0,IFERROR('📅 Sep'!G9,0),IFERROR('📅 Sep'!H9,0))+IF((IFERROR('📅 Oct'!G9,0))&gt;0,IFERROR('📅 Oct'!G9,0),IFERROR('📅 Oct'!H9,0))+IF((IFERROR('📅 Nov'!G9,0))&gt;0,IFERROR('📅 Nov'!G9,0),IFERROR('📅 Nov'!H9,0))+IF((IFERROR('📅 Dec'!G9,0))&gt;0,IFERROR('📅 Dec'!G9,0),IFERROR('📅 Dec'!H9,0))</f>
        <v>906922.28040000016</v>
      </c>
      <c r="D44" s="92">
        <f>'⚙️ Setup'!E17</f>
        <v>869923.61</v>
      </c>
      <c r="E44" s="92">
        <f>'⚙️ Setup'!F17</f>
        <v>670566.12</v>
      </c>
      <c r="F44" s="88">
        <f>'⚙️ Setup'!F17*0.75</f>
        <v>502924.58999999997</v>
      </c>
      <c r="G44" s="89">
        <f>'⚙️ Setup'!F17</f>
        <v>670566.12</v>
      </c>
      <c r="H44" s="90">
        <f>'⚙️ Setup'!F17</f>
        <v>670566.12</v>
      </c>
    </row>
    <row r="45" spans="1:8" ht="18" customHeight="1" x14ac:dyDescent="0.35">
      <c r="A45" s="86" t="s">
        <v>242</v>
      </c>
      <c r="B45" s="87">
        <f>IF((IFERROR('📅 Mar'!G9,0)+IFERROR('📅 Apr'!G9,0)+IFERROR('📅 May'!G9,0)+IFERROR('📅 Jun'!G9,0)+IFERROR('📅 Jul'!G9,0)+IFERROR('📅 Aug'!G9,0)+IFERROR('📅 Sep'!G9,0)+IFERROR('📅 Oct'!G9,0)+IFERROR('📅 Nov'!G9,0)+IFERROR('📅 Dec'!G9,0)+IFERROR('📅 Jan'!G9,0))=0,"",IFERROR('📅 Mar'!G9,0)+IFERROR('📅 Apr'!G9,0)+IFERROR('📅 May'!G9,0)+IFERROR('📅 Jun'!G9,0)+IFERROR('📅 Jul'!G9,0)+IFERROR('📅 Aug'!G9,0)+IFERROR('📅 Sep'!G9,0)+IFERROR('📅 Oct'!G9,0)+IFERROR('📅 Nov'!G9,0)+IFERROR('📅 Dec'!G9,0)+IFERROR('📅 Jan'!G9,0))</f>
        <v>90434.31</v>
      </c>
      <c r="C45" s="87">
        <f>IF((IFERROR('📅 Mar'!G9,0))&gt;0,IFERROR('📅 Mar'!G9,0),IFERROR('📅 Mar'!H9,0))+IF((IFERROR('📅 Apr'!G9,0))&gt;0,IFERROR('📅 Apr'!G9,0),IFERROR('📅 Apr'!H9,0))+IF((IFERROR('📅 May'!G9,0))&gt;0,IFERROR('📅 May'!G9,0),IFERROR('📅 May'!H9,0))+IF((IFERROR('📅 Jun'!G9,0))&gt;0,IFERROR('📅 Jun'!G9,0),IFERROR('📅 Jun'!H9,0))+IF((IFERROR('📅 Jul'!G9,0))&gt;0,IFERROR('📅 Jul'!G9,0),IFERROR('📅 Jul'!H9,0))+IF((IFERROR('📅 Aug'!G9,0))&gt;0,IFERROR('📅 Aug'!G9,0),IFERROR('📅 Aug'!H9,0))+IF((IFERROR('📅 Sep'!G9,0))&gt;0,IFERROR('📅 Sep'!G9,0),IFERROR('📅 Sep'!H9,0))+IF((IFERROR('📅 Oct'!G9,0))&gt;0,IFERROR('📅 Oct'!G9,0),IFERROR('📅 Oct'!H9,0))+IF((IFERROR('📅 Nov'!G9,0))&gt;0,IFERROR('📅 Nov'!G9,0),IFERROR('📅 Nov'!H9,0))+IF((IFERROR('📅 Dec'!G9,0))&gt;0,IFERROR('📅 Dec'!G9,0),IFERROR('📅 Dec'!H9,0))+IF((IFERROR('📅 Jan'!G9,0))&gt;0,IFERROR('📅 Jan'!G9,0),IFERROR('📅 Jan'!H9,0))</f>
        <v>970622.73240000021</v>
      </c>
      <c r="D45" s="87">
        <f>'⚙️ Setup'!E17</f>
        <v>869923.61</v>
      </c>
      <c r="E45" s="87">
        <f>'⚙️ Setup'!F17</f>
        <v>670566.12</v>
      </c>
      <c r="F45" s="88">
        <f>'⚙️ Setup'!F17*0.75</f>
        <v>502924.58999999997</v>
      </c>
      <c r="G45" s="89">
        <f>'⚙️ Setup'!F17</f>
        <v>670566.12</v>
      </c>
      <c r="H45" s="90">
        <f>'⚙️ Setup'!F17</f>
        <v>670566.12</v>
      </c>
    </row>
    <row r="46" spans="1:8" ht="18" customHeight="1" x14ac:dyDescent="0.35">
      <c r="A46" s="91" t="s">
        <v>243</v>
      </c>
      <c r="B46" s="92">
        <f>IF((IFERROR('📅 Mar'!G9,0)+IFERROR('📅 Apr'!G9,0)+IFERROR('📅 May'!G9,0)+IFERROR('📅 Jun'!G9,0)+IFERROR('📅 Jul'!G9,0)+IFERROR('📅 Aug'!G9,0)+IFERROR('📅 Sep'!G9,0)+IFERROR('📅 Oct'!G9,0)+IFERROR('📅 Nov'!G9,0)+IFERROR('📅 Dec'!G9,0)+IFERROR('📅 Jan'!G9,0)+IFERROR('📅 Feb-E'!G9,0))=0,"",IFERROR('📅 Mar'!G9,0)+IFERROR('📅 Apr'!G9,0)+IFERROR('📅 May'!G9,0)+IFERROR('📅 Jun'!G9,0)+IFERROR('📅 Jul'!G9,0)+IFERROR('📅 Aug'!G9,0)+IFERROR('📅 Sep'!G9,0)+IFERROR('📅 Oct'!G9,0)+IFERROR('📅 Nov'!G9,0)+IFERROR('📅 Dec'!G9,0)+IFERROR('📅 Jan'!G9,0)+IFERROR('📅 Feb-E'!G9,0))</f>
        <v>90434.31</v>
      </c>
      <c r="C46" s="92">
        <f>IF((IFERROR('📅 Mar'!G9,0))&gt;0,IFERROR('📅 Mar'!G9,0),IFERROR('📅 Mar'!H9,0))+IF((IFERROR('📅 Apr'!G9,0))&gt;0,IFERROR('📅 Apr'!G9,0),IFERROR('📅 Apr'!H9,0))+IF((IFERROR('📅 May'!G9,0))&gt;0,IFERROR('📅 May'!G9,0),IFERROR('📅 May'!H9,0))+IF((IFERROR('📅 Jun'!G9,0))&gt;0,IFERROR('📅 Jun'!G9,0),IFERROR('📅 Jun'!H9,0))+IF((IFERROR('📅 Jul'!G9,0))&gt;0,IFERROR('📅 Jul'!G9,0),IFERROR('📅 Jul'!H9,0))+IF((IFERROR('📅 Aug'!G9,0))&gt;0,IFERROR('📅 Aug'!G9,0),IFERROR('📅 Aug'!H9,0))+IF((IFERROR('📅 Sep'!G9,0))&gt;0,IFERROR('📅 Sep'!G9,0),IFERROR('📅 Sep'!H9,0))+IF((IFERROR('📅 Oct'!G9,0))&gt;0,IFERROR('📅 Oct'!G9,0),IFERROR('📅 Oct'!H9,0))+IF((IFERROR('📅 Nov'!G9,0))&gt;0,IFERROR('📅 Nov'!G9,0),IFERROR('📅 Nov'!H9,0))+IF((IFERROR('📅 Dec'!G9,0))&gt;0,IFERROR('📅 Dec'!G9,0),IFERROR('📅 Dec'!H9,0))+IF((IFERROR('📅 Jan'!G9,0))&gt;0,IFERROR('📅 Jan'!G9,0),IFERROR('📅 Jan'!H9,0))+IF((IFERROR('📅 Feb-E'!G9,0))&gt;0,IFERROR('📅 Feb-E'!G9,0),IFERROR('📅 Feb-E'!H9,0))</f>
        <v>1025939.6196000002</v>
      </c>
      <c r="D46" s="92">
        <f>'⚙️ Setup'!E17</f>
        <v>869923.61</v>
      </c>
      <c r="E46" s="92">
        <f>'⚙️ Setup'!F17</f>
        <v>670566.12</v>
      </c>
      <c r="F46" s="88">
        <f>'⚙️ Setup'!F17*0.75</f>
        <v>502924.58999999997</v>
      </c>
      <c r="G46" s="89">
        <f>'⚙️ Setup'!F17</f>
        <v>670566.12</v>
      </c>
      <c r="H46" s="90">
        <f>'⚙️ Setup'!F17</f>
        <v>670566.12</v>
      </c>
    </row>
    <row r="47" spans="1:8" ht="19.5" customHeight="1" x14ac:dyDescent="0.35">
      <c r="A47" s="107" t="s">
        <v>244</v>
      </c>
      <c r="B47" s="108"/>
      <c r="C47" s="116" t="str" cm="1">
        <f t="array" ref="C47">IFERROR(INDEX(A35:A46,_xlfn.AGGREGATE(15,6,(ROW(A35:A46)-ROW(A35)+1)/(C35:C46&gt;='⚙️ Setup'!F17*0.75),1)),"Not yet projected")</f>
        <v>Aug</v>
      </c>
      <c r="D47" s="110"/>
      <c r="E47" s="108"/>
    </row>
    <row r="48" spans="1:8" ht="19.5" customHeight="1" x14ac:dyDescent="0.35">
      <c r="A48" s="111" t="s">
        <v>245</v>
      </c>
      <c r="B48" s="108"/>
      <c r="C48" s="109" t="str" cm="1">
        <f t="array" ref="C48">IFERROR(INDEX(A35:A46,_xlfn.AGGREGATE(15,6,(ROW(A35:A46)-ROW(A35)+1)/(C35:C46&gt;='⚙️ Setup'!F17),1)),"Not yet projected")</f>
        <v>Sep</v>
      </c>
      <c r="D48" s="110"/>
      <c r="E48" s="110"/>
    </row>
    <row r="49" spans="1:8" ht="19.5" customHeight="1" x14ac:dyDescent="0.35">
      <c r="A49" s="114" t="s">
        <v>74</v>
      </c>
      <c r="B49" s="115"/>
      <c r="C49" s="115"/>
      <c r="D49" s="115"/>
      <c r="E49" s="115"/>
      <c r="F49" s="115"/>
      <c r="G49" s="115"/>
    </row>
    <row r="50" spans="1:8" ht="24" customHeight="1" x14ac:dyDescent="0.35">
      <c r="A50" s="41" t="s">
        <v>203</v>
      </c>
      <c r="B50" s="93" t="s">
        <v>228</v>
      </c>
      <c r="C50" s="93" t="s">
        <v>229</v>
      </c>
      <c r="D50" s="93" t="s">
        <v>220</v>
      </c>
      <c r="E50" s="93" t="s">
        <v>221</v>
      </c>
      <c r="F50" s="93" t="s">
        <v>230</v>
      </c>
      <c r="G50" s="41" t="s">
        <v>231</v>
      </c>
      <c r="H50" s="81" t="s">
        <v>232</v>
      </c>
    </row>
    <row r="51" spans="1:8" ht="18" customHeight="1" x14ac:dyDescent="0.35">
      <c r="A51" s="86" t="s">
        <v>233</v>
      </c>
      <c r="B51" s="87">
        <f>IF((IFERROR('📅 Mar'!G10,0))=0,"",IFERROR('📅 Mar'!G10,0))</f>
        <v>18521.330000000002</v>
      </c>
      <c r="C51" s="87">
        <f>IF((IFERROR('📅 Mar'!G10,0))&gt;0,IFERROR('📅 Mar'!G10,0),IFERROR('📅 Mar'!H10,0))</f>
        <v>18521.330000000002</v>
      </c>
      <c r="D51" s="87">
        <f>'⚙️ Setup'!E18</f>
        <v>688014.82</v>
      </c>
      <c r="E51" s="87">
        <f>'⚙️ Setup'!F18</f>
        <v>501677.47000000003</v>
      </c>
      <c r="F51" s="88">
        <f>'⚙️ Setup'!F18*0.75</f>
        <v>376258.10250000004</v>
      </c>
      <c r="G51" s="89">
        <f>'⚙️ Setup'!F18</f>
        <v>501677.47000000003</v>
      </c>
      <c r="H51" s="90">
        <f>'⚙️ Setup'!F18</f>
        <v>501677.47000000003</v>
      </c>
    </row>
    <row r="52" spans="1:8" ht="18" customHeight="1" x14ac:dyDescent="0.35">
      <c r="A52" s="91" t="s">
        <v>234</v>
      </c>
      <c r="B52" s="92">
        <f>IF((IFERROR('📅 Mar'!G10,0)+IFERROR('📅 Apr'!G10,0))=0,"",IFERROR('📅 Mar'!G10,0)+IFERROR('📅 Apr'!G10,0))</f>
        <v>18521.330000000002</v>
      </c>
      <c r="C52" s="92">
        <f>IF((IFERROR('📅 Mar'!G10,0))&gt;0,IFERROR('📅 Mar'!G10,0),IFERROR('📅 Mar'!H10,0))+IF((IFERROR('📅 Apr'!G10,0))&gt;0,IFERROR('📅 Apr'!G10,0),IFERROR('📅 Apr'!H10,0))</f>
        <v>74423.858000000007</v>
      </c>
      <c r="D52" s="92">
        <f>'⚙️ Setup'!E18</f>
        <v>688014.82</v>
      </c>
      <c r="E52" s="92">
        <f>'⚙️ Setup'!F18</f>
        <v>501677.47000000003</v>
      </c>
      <c r="F52" s="88">
        <f>'⚙️ Setup'!F18*0.75</f>
        <v>376258.10250000004</v>
      </c>
      <c r="G52" s="89">
        <f>'⚙️ Setup'!F18</f>
        <v>501677.47000000003</v>
      </c>
      <c r="H52" s="90">
        <f>'⚙️ Setup'!F18</f>
        <v>501677.47000000003</v>
      </c>
    </row>
    <row r="53" spans="1:8" ht="18" customHeight="1" x14ac:dyDescent="0.35">
      <c r="A53" s="86" t="s">
        <v>139</v>
      </c>
      <c r="B53" s="87">
        <f>IF((IFERROR('📅 Mar'!G10,0)+IFERROR('📅 Apr'!G10,0)+IFERROR('📅 May'!G10,0))=0,"",IFERROR('📅 Mar'!G10,0)+IFERROR('📅 Apr'!G10,0)+IFERROR('📅 May'!G10,0))</f>
        <v>18521.330000000002</v>
      </c>
      <c r="C53" s="87">
        <f>IF((IFERROR('📅 Mar'!G10,0))&gt;0,IFERROR('📅 Mar'!G10,0),IFERROR('📅 Mar'!H10,0))+IF((IFERROR('📅 Apr'!G10,0))&gt;0,IFERROR('📅 Apr'!G10,0),IFERROR('📅 Apr'!H10,0))+IF((IFERROR('📅 May'!G10,0))&gt;0,IFERROR('📅 May'!G10,0),IFERROR('📅 May'!H10,0))</f>
        <v>110250.0932</v>
      </c>
      <c r="D53" s="87">
        <f>'⚙️ Setup'!E18</f>
        <v>688014.82</v>
      </c>
      <c r="E53" s="87">
        <f>'⚙️ Setup'!F18</f>
        <v>501677.47000000003</v>
      </c>
      <c r="F53" s="88">
        <f>'⚙️ Setup'!F18*0.75</f>
        <v>376258.10250000004</v>
      </c>
      <c r="G53" s="89">
        <f>'⚙️ Setup'!F18</f>
        <v>501677.47000000003</v>
      </c>
      <c r="H53" s="90">
        <f>'⚙️ Setup'!F18</f>
        <v>501677.47000000003</v>
      </c>
    </row>
    <row r="54" spans="1:8" ht="18" customHeight="1" x14ac:dyDescent="0.35">
      <c r="A54" s="91" t="s">
        <v>235</v>
      </c>
      <c r="B54" s="92">
        <f>IF((IFERROR('📅 Mar'!G10,0)+IFERROR('📅 Apr'!G10,0)+IFERROR('📅 May'!G10,0)+IFERROR('📅 Jun'!G10,0))=0,"",IFERROR('📅 Mar'!G10,0)+IFERROR('📅 Apr'!G10,0)+IFERROR('📅 May'!G10,0)+IFERROR('📅 Jun'!G10,0))</f>
        <v>18521.330000000002</v>
      </c>
      <c r="C54" s="92">
        <f>IF((IFERROR('📅 Mar'!G10,0))&gt;0,IFERROR('📅 Mar'!G10,0),IFERROR('📅 Mar'!H10,0))+IF((IFERROR('📅 Apr'!G10,0))&gt;0,IFERROR('📅 Apr'!G10,0),IFERROR('📅 Apr'!H10,0))+IF((IFERROR('📅 May'!G10,0))&gt;0,IFERROR('📅 May'!G10,0),IFERROR('📅 May'!H10,0))+IF((IFERROR('📅 Jun'!G10,0))&gt;0,IFERROR('📅 Jun'!G10,0),IFERROR('📅 Jun'!H10,0))</f>
        <v>133512.51560000001</v>
      </c>
      <c r="D54" s="92">
        <f>'⚙️ Setup'!E18</f>
        <v>688014.82</v>
      </c>
      <c r="E54" s="92">
        <f>'⚙️ Setup'!F18</f>
        <v>501677.47000000003</v>
      </c>
      <c r="F54" s="88">
        <f>'⚙️ Setup'!F18*0.75</f>
        <v>376258.10250000004</v>
      </c>
      <c r="G54" s="89">
        <f>'⚙️ Setup'!F18</f>
        <v>501677.47000000003</v>
      </c>
      <c r="H54" s="90">
        <f>'⚙️ Setup'!F18</f>
        <v>501677.47000000003</v>
      </c>
    </row>
    <row r="55" spans="1:8" ht="18" customHeight="1" x14ac:dyDescent="0.35">
      <c r="A55" s="86" t="s">
        <v>236</v>
      </c>
      <c r="B55" s="87">
        <f>IF((IFERROR('📅 Mar'!G10,0)+IFERROR('📅 Apr'!G10,0)+IFERROR('📅 May'!G10,0)+IFERROR('📅 Jun'!G10,0)+IFERROR('📅 Jul'!G10,0))=0,"",IFERROR('📅 Mar'!G10,0)+IFERROR('📅 Apr'!G10,0)+IFERROR('📅 May'!G10,0)+IFERROR('📅 Jun'!G10,0)+IFERROR('📅 Jul'!G10,0))</f>
        <v>18521.330000000002</v>
      </c>
      <c r="C55" s="87">
        <f>IF((IFERROR('📅 Mar'!G10,0))&gt;0,IFERROR('📅 Mar'!G10,0),IFERROR('📅 Mar'!H10,0))+IF((IFERROR('📅 Apr'!G10,0))&gt;0,IFERROR('📅 Apr'!G10,0),IFERROR('📅 Apr'!H10,0))+IF((IFERROR('📅 May'!G10,0))&gt;0,IFERROR('📅 May'!G10,0),IFERROR('📅 May'!H10,0))+IF((IFERROR('📅 Jun'!G10,0))&gt;0,IFERROR('📅 Jun'!G10,0),IFERROR('📅 Jun'!H10,0))+IF((IFERROR('📅 Jul'!G10,0))&gt;0,IFERROR('📅 Jul'!G10,0),IFERROR('📅 Jul'!H10,0))</f>
        <v>158990.40680000003</v>
      </c>
      <c r="D55" s="87">
        <f>'⚙️ Setup'!E18</f>
        <v>688014.82</v>
      </c>
      <c r="E55" s="87">
        <f>'⚙️ Setup'!F18</f>
        <v>501677.47000000003</v>
      </c>
      <c r="F55" s="88">
        <f>'⚙️ Setup'!F18*0.75</f>
        <v>376258.10250000004</v>
      </c>
      <c r="G55" s="89">
        <f>'⚙️ Setup'!F18</f>
        <v>501677.47000000003</v>
      </c>
      <c r="H55" s="90">
        <f>'⚙️ Setup'!F18</f>
        <v>501677.47000000003</v>
      </c>
    </row>
    <row r="56" spans="1:8" ht="18" customHeight="1" x14ac:dyDescent="0.35">
      <c r="A56" s="91" t="s">
        <v>237</v>
      </c>
      <c r="B56" s="92">
        <f>IF((IFERROR('📅 Mar'!G10,0)+IFERROR('📅 Apr'!G10,0)+IFERROR('📅 May'!G10,0)+IFERROR('📅 Jun'!G10,0)+IFERROR('📅 Jul'!G10,0)+IFERROR('📅 Aug'!G10,0))=0,"",IFERROR('📅 Mar'!G10,0)+IFERROR('📅 Apr'!G10,0)+IFERROR('📅 May'!G10,0)+IFERROR('📅 Jun'!G10,0)+IFERROR('📅 Jul'!G10,0)+IFERROR('📅 Aug'!G10,0))</f>
        <v>18521.330000000002</v>
      </c>
      <c r="C56" s="92">
        <f>IF((IFERROR('📅 Mar'!G10,0))&gt;0,IFERROR('📅 Mar'!G10,0),IFERROR('📅 Mar'!H10,0))+IF((IFERROR('📅 Apr'!G10,0))&gt;0,IFERROR('📅 Apr'!G10,0),IFERROR('📅 Apr'!H10,0))+IF((IFERROR('📅 May'!G10,0))&gt;0,IFERROR('📅 May'!G10,0),IFERROR('📅 May'!H10,0))+IF((IFERROR('📅 Jun'!G10,0))&gt;0,IFERROR('📅 Jun'!G10,0),IFERROR('📅 Jun'!H10,0))+IF((IFERROR('📅 Jul'!G10,0))&gt;0,IFERROR('📅 Jul'!G10,0),IFERROR('📅 Jul'!H10,0))+IF((IFERROR('📅 Aug'!G10,0))&gt;0,IFERROR('📅 Aug'!G10,0),IFERROR('📅 Aug'!H10,0))</f>
        <v>182252.82920000004</v>
      </c>
      <c r="D56" s="92">
        <f>'⚙️ Setup'!E18</f>
        <v>688014.82</v>
      </c>
      <c r="E56" s="92">
        <f>'⚙️ Setup'!F18</f>
        <v>501677.47000000003</v>
      </c>
      <c r="F56" s="88">
        <f>'⚙️ Setup'!F18*0.75</f>
        <v>376258.10250000004</v>
      </c>
      <c r="G56" s="89">
        <f>'⚙️ Setup'!F18</f>
        <v>501677.47000000003</v>
      </c>
      <c r="H56" s="90">
        <f>'⚙️ Setup'!F18</f>
        <v>501677.47000000003</v>
      </c>
    </row>
    <row r="57" spans="1:8" ht="18" customHeight="1" x14ac:dyDescent="0.35">
      <c r="A57" s="86" t="s">
        <v>238</v>
      </c>
      <c r="B57" s="87">
        <f>IF((IFERROR('📅 Mar'!G10,0)+IFERROR('📅 Apr'!G10,0)+IFERROR('📅 May'!G10,0)+IFERROR('📅 Jun'!G10,0)+IFERROR('📅 Jul'!G10,0)+IFERROR('📅 Aug'!G10,0)+IFERROR('📅 Sep'!G10,0))=0,"",IFERROR('📅 Mar'!G10,0)+IFERROR('📅 Apr'!G10,0)+IFERROR('📅 May'!G10,0)+IFERROR('📅 Jun'!G10,0)+IFERROR('📅 Jul'!G10,0)+IFERROR('📅 Aug'!G10,0)+IFERROR('📅 Sep'!G10,0))</f>
        <v>18521.330000000002</v>
      </c>
      <c r="C57" s="87">
        <f>IF((IFERROR('📅 Mar'!G10,0))&gt;0,IFERROR('📅 Mar'!G10,0),IFERROR('📅 Mar'!H10,0))+IF((IFERROR('📅 Apr'!G10,0))&gt;0,IFERROR('📅 Apr'!G10,0),IFERROR('📅 Apr'!H10,0))+IF((IFERROR('📅 May'!G10,0))&gt;0,IFERROR('📅 May'!G10,0),IFERROR('📅 May'!H10,0))+IF((IFERROR('📅 Jun'!G10,0))&gt;0,IFERROR('📅 Jun'!G10,0),IFERROR('📅 Jun'!H10,0))+IF((IFERROR('📅 Jul'!G10,0))&gt;0,IFERROR('📅 Jul'!G10,0),IFERROR('📅 Jul'!H10,0))+IF((IFERROR('📅 Aug'!G10,0))&gt;0,IFERROR('📅 Aug'!G10,0),IFERROR('📅 Aug'!H10,0))+IF((IFERROR('📅 Sep'!G10,0))&gt;0,IFERROR('📅 Sep'!G10,0),IFERROR('📅 Sep'!H10,0))</f>
        <v>206622.98600000003</v>
      </c>
      <c r="D57" s="87">
        <f>'⚙️ Setup'!E18</f>
        <v>688014.82</v>
      </c>
      <c r="E57" s="87">
        <f>'⚙️ Setup'!F18</f>
        <v>501677.47000000003</v>
      </c>
      <c r="F57" s="88">
        <f>'⚙️ Setup'!F18*0.75</f>
        <v>376258.10250000004</v>
      </c>
      <c r="G57" s="89">
        <f>'⚙️ Setup'!F18</f>
        <v>501677.47000000003</v>
      </c>
      <c r="H57" s="90">
        <f>'⚙️ Setup'!F18</f>
        <v>501677.47000000003</v>
      </c>
    </row>
    <row r="58" spans="1:8" ht="18" customHeight="1" x14ac:dyDescent="0.35">
      <c r="A58" s="91" t="s">
        <v>239</v>
      </c>
      <c r="B58" s="92">
        <f>IF((IFERROR('📅 Mar'!G10,0)+IFERROR('📅 Apr'!G10,0)+IFERROR('📅 May'!G10,0)+IFERROR('📅 Jun'!G10,0)+IFERROR('📅 Jul'!G10,0)+IFERROR('📅 Aug'!G10,0)+IFERROR('📅 Sep'!G10,0)+IFERROR('📅 Oct'!G10,0))=0,"",IFERROR('📅 Mar'!G10,0)+IFERROR('📅 Apr'!G10,0)+IFERROR('📅 May'!G10,0)+IFERROR('📅 Jun'!G10,0)+IFERROR('📅 Jul'!G10,0)+IFERROR('📅 Aug'!G10,0)+IFERROR('📅 Sep'!G10,0)+IFERROR('📅 Oct'!G10,0))</f>
        <v>18521.330000000002</v>
      </c>
      <c r="C58" s="92">
        <f>IF((IFERROR('📅 Mar'!G10,0))&gt;0,IFERROR('📅 Mar'!G10,0),IFERROR('📅 Mar'!H10,0))+IF((IFERROR('📅 Apr'!G10,0))&gt;0,IFERROR('📅 Apr'!G10,0),IFERROR('📅 Apr'!H10,0))+IF((IFERROR('📅 May'!G10,0))&gt;0,IFERROR('📅 May'!G10,0),IFERROR('📅 May'!H10,0))+IF((IFERROR('📅 Jun'!G10,0))&gt;0,IFERROR('📅 Jun'!G10,0),IFERROR('📅 Jun'!H10,0))+IF((IFERROR('📅 Jul'!G10,0))&gt;0,IFERROR('📅 Jul'!G10,0),IFERROR('📅 Jul'!H10,0))+IF((IFERROR('📅 Aug'!G10,0))&gt;0,IFERROR('📅 Aug'!G10,0),IFERROR('📅 Aug'!H10,0))+IF((IFERROR('📅 Sep'!G10,0))&gt;0,IFERROR('📅 Sep'!G10,0),IFERROR('📅 Sep'!H10,0))+IF((IFERROR('📅 Oct'!G10,0))&gt;0,IFERROR('📅 Oct'!G10,0),IFERROR('📅 Oct'!H10,0))</f>
        <v>230993.14280000003</v>
      </c>
      <c r="D58" s="92">
        <f>'⚙️ Setup'!E18</f>
        <v>688014.82</v>
      </c>
      <c r="E58" s="92">
        <f>'⚙️ Setup'!F18</f>
        <v>501677.47000000003</v>
      </c>
      <c r="F58" s="88">
        <f>'⚙️ Setup'!F18*0.75</f>
        <v>376258.10250000004</v>
      </c>
      <c r="G58" s="89">
        <f>'⚙️ Setup'!F18</f>
        <v>501677.47000000003</v>
      </c>
      <c r="H58" s="90">
        <f>'⚙️ Setup'!F18</f>
        <v>501677.47000000003</v>
      </c>
    </row>
    <row r="59" spans="1:8" ht="18" customHeight="1" x14ac:dyDescent="0.35">
      <c r="A59" s="86" t="s">
        <v>240</v>
      </c>
      <c r="B59" s="87">
        <f>IF((IFERROR('📅 Mar'!G10,0)+IFERROR('📅 Apr'!G10,0)+IFERROR('📅 May'!G10,0)+IFERROR('📅 Jun'!G10,0)+IFERROR('📅 Jul'!G10,0)+IFERROR('📅 Aug'!G10,0)+IFERROR('📅 Sep'!G10,0)+IFERROR('📅 Oct'!G10,0)+IFERROR('📅 Nov'!G10,0))=0,"",IFERROR('📅 Mar'!G10,0)+IFERROR('📅 Apr'!G10,0)+IFERROR('📅 May'!G10,0)+IFERROR('📅 Jun'!G10,0)+IFERROR('📅 Jul'!G10,0)+IFERROR('📅 Aug'!G10,0)+IFERROR('📅 Sep'!G10,0)+IFERROR('📅 Oct'!G10,0)+IFERROR('📅 Nov'!G10,0))</f>
        <v>18521.330000000002</v>
      </c>
      <c r="C59" s="87">
        <f>IF((IFERROR('📅 Mar'!G10,0))&gt;0,IFERROR('📅 Mar'!G10,0),IFERROR('📅 Mar'!H10,0))+IF((IFERROR('📅 Apr'!G10,0))&gt;0,IFERROR('📅 Apr'!G10,0),IFERROR('📅 Apr'!H10,0))+IF((IFERROR('📅 May'!G10,0))&gt;0,IFERROR('📅 May'!G10,0),IFERROR('📅 May'!H10,0))+IF((IFERROR('📅 Jun'!G10,0))&gt;0,IFERROR('📅 Jun'!G10,0),IFERROR('📅 Jun'!H10,0))+IF((IFERROR('📅 Jul'!G10,0))&gt;0,IFERROR('📅 Jul'!G10,0),IFERROR('📅 Jul'!H10,0))+IF((IFERROR('📅 Aug'!G10,0))&gt;0,IFERROR('📅 Aug'!G10,0),IFERROR('📅 Aug'!H10,0))+IF((IFERROR('📅 Sep'!G10,0))&gt;0,IFERROR('📅 Sep'!G10,0),IFERROR('📅 Sep'!H10,0))+IF((IFERROR('📅 Oct'!G10,0))&gt;0,IFERROR('📅 Oct'!G10,0),IFERROR('📅 Oct'!H10,0))+IF((IFERROR('📅 Nov'!G10,0))&gt;0,IFERROR('📅 Nov'!G10,0),IFERROR('📅 Nov'!H10,0))</f>
        <v>253147.83080000003</v>
      </c>
      <c r="D59" s="87">
        <f>'⚙️ Setup'!E18</f>
        <v>688014.82</v>
      </c>
      <c r="E59" s="87">
        <f>'⚙️ Setup'!F18</f>
        <v>501677.47000000003</v>
      </c>
      <c r="F59" s="88">
        <f>'⚙️ Setup'!F18*0.75</f>
        <v>376258.10250000004</v>
      </c>
      <c r="G59" s="89">
        <f>'⚙️ Setup'!F18</f>
        <v>501677.47000000003</v>
      </c>
      <c r="H59" s="90">
        <f>'⚙️ Setup'!F18</f>
        <v>501677.47000000003</v>
      </c>
    </row>
    <row r="60" spans="1:8" ht="18" customHeight="1" x14ac:dyDescent="0.35">
      <c r="A60" s="91" t="s">
        <v>241</v>
      </c>
      <c r="B60" s="92">
        <f>IF((IFERROR('📅 Mar'!G10,0)+IFERROR('📅 Apr'!G10,0)+IFERROR('📅 May'!G10,0)+IFERROR('📅 Jun'!G10,0)+IFERROR('📅 Jul'!G10,0)+IFERROR('📅 Aug'!G10,0)+IFERROR('📅 Sep'!G10,0)+IFERROR('📅 Oct'!G10,0)+IFERROR('📅 Nov'!G10,0)+IFERROR('📅 Dec'!G10,0))=0,"",IFERROR('📅 Mar'!G10,0)+IFERROR('📅 Apr'!G10,0)+IFERROR('📅 May'!G10,0)+IFERROR('📅 Jun'!G10,0)+IFERROR('📅 Jul'!G10,0)+IFERROR('📅 Aug'!G10,0)+IFERROR('📅 Sep'!G10,0)+IFERROR('📅 Oct'!G10,0)+IFERROR('📅 Nov'!G10,0)+IFERROR('📅 Dec'!G10,0))</f>
        <v>18521.330000000002</v>
      </c>
      <c r="C60" s="92">
        <f>IF((IFERROR('📅 Mar'!G10,0))&gt;0,IFERROR('📅 Mar'!G10,0),IFERROR('📅 Mar'!H10,0))+IF((IFERROR('📅 Apr'!G10,0))&gt;0,IFERROR('📅 Apr'!G10,0),IFERROR('📅 Apr'!H10,0))+IF((IFERROR('📅 May'!G10,0))&gt;0,IFERROR('📅 May'!G10,0),IFERROR('📅 May'!H10,0))+IF((IFERROR('📅 Jun'!G10,0))&gt;0,IFERROR('📅 Jun'!G10,0),IFERROR('📅 Jun'!H10,0))+IF((IFERROR('📅 Jul'!G10,0))&gt;0,IFERROR('📅 Jul'!G10,0),IFERROR('📅 Jul'!H10,0))+IF((IFERROR('📅 Aug'!G10,0))&gt;0,IFERROR('📅 Aug'!G10,0),IFERROR('📅 Aug'!H10,0))+IF((IFERROR('📅 Sep'!G10,0))&gt;0,IFERROR('📅 Sep'!G10,0),IFERROR('📅 Sep'!H10,0))+IF((IFERROR('📅 Oct'!G10,0))&gt;0,IFERROR('📅 Oct'!G10,0),IFERROR('📅 Oct'!H10,0))+IF((IFERROR('📅 Nov'!G10,0))&gt;0,IFERROR('📅 Nov'!G10,0),IFERROR('📅 Nov'!H10,0))+IF((IFERROR('📅 Dec'!G10,0))&gt;0,IFERROR('📅 Dec'!G10,0),IFERROR('📅 Dec'!H10,0))</f>
        <v>277517.98760000005</v>
      </c>
      <c r="D60" s="92">
        <f>'⚙️ Setup'!E18</f>
        <v>688014.82</v>
      </c>
      <c r="E60" s="92">
        <f>'⚙️ Setup'!F18</f>
        <v>501677.47000000003</v>
      </c>
      <c r="F60" s="88">
        <f>'⚙️ Setup'!F18*0.75</f>
        <v>376258.10250000004</v>
      </c>
      <c r="G60" s="89">
        <f>'⚙️ Setup'!F18</f>
        <v>501677.47000000003</v>
      </c>
      <c r="H60" s="90">
        <f>'⚙️ Setup'!F18</f>
        <v>501677.47000000003</v>
      </c>
    </row>
    <row r="61" spans="1:8" ht="18" customHeight="1" x14ac:dyDescent="0.35">
      <c r="A61" s="86" t="s">
        <v>242</v>
      </c>
      <c r="B61" s="87">
        <f>IF((IFERROR('📅 Mar'!G10,0)+IFERROR('📅 Apr'!G10,0)+IFERROR('📅 May'!G10,0)+IFERROR('📅 Jun'!G10,0)+IFERROR('📅 Jul'!G10,0)+IFERROR('📅 Aug'!G10,0)+IFERROR('📅 Sep'!G10,0)+IFERROR('📅 Oct'!G10,0)+IFERROR('📅 Nov'!G10,0)+IFERROR('📅 Dec'!G10,0)+IFERROR('📅 Jan'!G10,0))=0,"",IFERROR('📅 Mar'!G10,0)+IFERROR('📅 Apr'!G10,0)+IFERROR('📅 May'!G10,0)+IFERROR('📅 Jun'!G10,0)+IFERROR('📅 Jul'!G10,0)+IFERROR('📅 Aug'!G10,0)+IFERROR('📅 Sep'!G10,0)+IFERROR('📅 Oct'!G10,0)+IFERROR('📅 Nov'!G10,0)+IFERROR('📅 Dec'!G10,0)+IFERROR('📅 Jan'!G10,0))</f>
        <v>18521.330000000002</v>
      </c>
      <c r="C61" s="87">
        <f>IF((IFERROR('📅 Mar'!G10,0))&gt;0,IFERROR('📅 Mar'!G10,0),IFERROR('📅 Mar'!H10,0))+IF((IFERROR('📅 Apr'!G10,0))&gt;0,IFERROR('📅 Apr'!G10,0),IFERROR('📅 Apr'!H10,0))+IF((IFERROR('📅 May'!G10,0))&gt;0,IFERROR('📅 May'!G10,0),IFERROR('📅 May'!H10,0))+IF((IFERROR('📅 Jun'!G10,0))&gt;0,IFERROR('📅 Jun'!G10,0),IFERROR('📅 Jun'!H10,0))+IF((IFERROR('📅 Jul'!G10,0))&gt;0,IFERROR('📅 Jul'!G10,0),IFERROR('📅 Jul'!H10,0))+IF((IFERROR('📅 Aug'!G10,0))&gt;0,IFERROR('📅 Aug'!G10,0),IFERROR('📅 Aug'!H10,0))+IF((IFERROR('📅 Sep'!G10,0))&gt;0,IFERROR('📅 Sep'!G10,0),IFERROR('📅 Sep'!H10,0))+IF((IFERROR('📅 Oct'!G10,0))&gt;0,IFERROR('📅 Oct'!G10,0),IFERROR('📅 Oct'!H10,0))+IF((IFERROR('📅 Nov'!G10,0))&gt;0,IFERROR('📅 Nov'!G10,0),IFERROR('📅 Nov'!H10,0))+IF((IFERROR('📅 Dec'!G10,0))&gt;0,IFERROR('📅 Dec'!G10,0),IFERROR('📅 Dec'!H10,0))+IF((IFERROR('📅 Jan'!G10,0))&gt;0,IFERROR('📅 Jan'!G10,0),IFERROR('📅 Jan'!H10,0))</f>
        <v>299672.67560000008</v>
      </c>
      <c r="D61" s="87">
        <f>'⚙️ Setup'!E18</f>
        <v>688014.82</v>
      </c>
      <c r="E61" s="87">
        <f>'⚙️ Setup'!F18</f>
        <v>501677.47000000003</v>
      </c>
      <c r="F61" s="88">
        <f>'⚙️ Setup'!F18*0.75</f>
        <v>376258.10250000004</v>
      </c>
      <c r="G61" s="89">
        <f>'⚙️ Setup'!F18</f>
        <v>501677.47000000003</v>
      </c>
      <c r="H61" s="90">
        <f>'⚙️ Setup'!F18</f>
        <v>501677.47000000003</v>
      </c>
    </row>
    <row r="62" spans="1:8" ht="18" customHeight="1" x14ac:dyDescent="0.35">
      <c r="A62" s="91" t="s">
        <v>243</v>
      </c>
      <c r="B62" s="92">
        <f>IF((IFERROR('📅 Mar'!G10,0)+IFERROR('📅 Apr'!G10,0)+IFERROR('📅 May'!G10,0)+IFERROR('📅 Jun'!G10,0)+IFERROR('📅 Jul'!G10,0)+IFERROR('📅 Aug'!G10,0)+IFERROR('📅 Sep'!G10,0)+IFERROR('📅 Oct'!G10,0)+IFERROR('📅 Nov'!G10,0)+IFERROR('📅 Dec'!G10,0)+IFERROR('📅 Jan'!G10,0)+IFERROR('📅 Feb-E'!G10,0))=0,"",IFERROR('📅 Mar'!G10,0)+IFERROR('📅 Apr'!G10,0)+IFERROR('📅 May'!G10,0)+IFERROR('📅 Jun'!G10,0)+IFERROR('📅 Jul'!G10,0)+IFERROR('📅 Aug'!G10,0)+IFERROR('📅 Sep'!G10,0)+IFERROR('📅 Oct'!G10,0)+IFERROR('📅 Nov'!G10,0)+IFERROR('📅 Dec'!G10,0)+IFERROR('📅 Jan'!G10,0)+IFERROR('📅 Feb-E'!G10,0))</f>
        <v>18521.330000000002</v>
      </c>
      <c r="C62" s="92">
        <f>IF((IFERROR('📅 Mar'!G10,0))&gt;0,IFERROR('📅 Mar'!G10,0),IFERROR('📅 Mar'!H10,0))+IF((IFERROR('📅 Apr'!G10,0))&gt;0,IFERROR('📅 Apr'!G10,0),IFERROR('📅 Apr'!H10,0))+IF((IFERROR('📅 May'!G10,0))&gt;0,IFERROR('📅 May'!G10,0),IFERROR('📅 May'!H10,0))+IF((IFERROR('📅 Jun'!G10,0))&gt;0,IFERROR('📅 Jun'!G10,0),IFERROR('📅 Jun'!H10,0))+IF((IFERROR('📅 Jul'!G10,0))&gt;0,IFERROR('📅 Jul'!G10,0),IFERROR('📅 Jul'!H10,0))+IF((IFERROR('📅 Aug'!G10,0))&gt;0,IFERROR('📅 Aug'!G10,0),IFERROR('📅 Aug'!H10,0))+IF((IFERROR('📅 Sep'!G10,0))&gt;0,IFERROR('📅 Sep'!G10,0),IFERROR('📅 Sep'!H10,0))+IF((IFERROR('📅 Oct'!G10,0))&gt;0,IFERROR('📅 Oct'!G10,0),IFERROR('📅 Oct'!H10,0))+IF((IFERROR('📅 Nov'!G10,0))&gt;0,IFERROR('📅 Nov'!G10,0),IFERROR('📅 Nov'!H10,0))+IF((IFERROR('📅 Dec'!G10,0))&gt;0,IFERROR('📅 Dec'!G10,0),IFERROR('📅 Dec'!H10,0))+IF((IFERROR('📅 Jan'!G10,0))&gt;0,IFERROR('📅 Jan'!G10,0),IFERROR('📅 Jan'!H10,0))+IF((IFERROR('📅 Feb-E'!G10,0))&gt;0,IFERROR('📅 Feb-E'!G10,0),IFERROR('📅 Feb-E'!H10,0))</f>
        <v>318504.16040000005</v>
      </c>
      <c r="D62" s="92">
        <f>'⚙️ Setup'!E18</f>
        <v>688014.82</v>
      </c>
      <c r="E62" s="92">
        <f>'⚙️ Setup'!F18</f>
        <v>501677.47000000003</v>
      </c>
      <c r="F62" s="88">
        <f>'⚙️ Setup'!F18*0.75</f>
        <v>376258.10250000004</v>
      </c>
      <c r="G62" s="89">
        <f>'⚙️ Setup'!F18</f>
        <v>501677.47000000003</v>
      </c>
      <c r="H62" s="90">
        <f>'⚙️ Setup'!F18</f>
        <v>501677.47000000003</v>
      </c>
    </row>
    <row r="63" spans="1:8" ht="19.5" customHeight="1" x14ac:dyDescent="0.35">
      <c r="A63" s="107" t="s">
        <v>244</v>
      </c>
      <c r="B63" s="108"/>
      <c r="C63" s="116" t="str" cm="1">
        <f t="array" ref="C63">IFERROR(INDEX(A51:A62,_xlfn.AGGREGATE(15,6,(ROW(A51:A62)-ROW(A51)+1)/(C51:C62&gt;='⚙️ Setup'!F18*0.75),1)),"Not yet projected")</f>
        <v>Not yet projected</v>
      </c>
      <c r="D63" s="110"/>
      <c r="E63" s="108"/>
    </row>
    <row r="64" spans="1:8" ht="19.5" customHeight="1" x14ac:dyDescent="0.35">
      <c r="A64" s="111" t="s">
        <v>245</v>
      </c>
      <c r="B64" s="108"/>
      <c r="C64" s="109" t="str" cm="1">
        <f t="array" ref="C64">IFERROR(INDEX(A51:A62,_xlfn.AGGREGATE(15,6,(ROW(A51:A62)-ROW(A51)+1)/(C51:C62&gt;='⚙️ Setup'!F18),1)),"Not yet projected")</f>
        <v>Not yet projected</v>
      </c>
      <c r="D64" s="110"/>
      <c r="E64" s="110"/>
    </row>
    <row r="65" spans="1:8" ht="19.5" customHeight="1" x14ac:dyDescent="0.35">
      <c r="A65" s="114" t="s">
        <v>248</v>
      </c>
      <c r="B65" s="115"/>
      <c r="C65" s="115"/>
      <c r="D65" s="115"/>
      <c r="E65" s="115"/>
      <c r="F65" s="115"/>
      <c r="G65" s="115"/>
    </row>
    <row r="66" spans="1:8" ht="24" customHeight="1" x14ac:dyDescent="0.35">
      <c r="A66" s="41" t="s">
        <v>203</v>
      </c>
      <c r="B66" s="93" t="s">
        <v>228</v>
      </c>
      <c r="C66" s="93" t="s">
        <v>229</v>
      </c>
      <c r="D66" s="93" t="s">
        <v>220</v>
      </c>
      <c r="E66" s="93" t="s">
        <v>221</v>
      </c>
      <c r="F66" s="93" t="s">
        <v>230</v>
      </c>
      <c r="G66" s="41" t="s">
        <v>231</v>
      </c>
      <c r="H66" s="81" t="s">
        <v>232</v>
      </c>
    </row>
    <row r="67" spans="1:8" ht="18" customHeight="1" x14ac:dyDescent="0.35">
      <c r="A67" s="86" t="s">
        <v>233</v>
      </c>
      <c r="B67" s="87">
        <f>IF((IFERROR('📅 Mar'!G11,0))=0,"",IFERROR('📅 Mar'!G11,0))</f>
        <v>2590.77</v>
      </c>
      <c r="C67" s="87">
        <f>IF((IFERROR('📅 Mar'!G11,0))&gt;0,IFERROR('📅 Mar'!G11,0),IFERROR('📅 Mar'!H11,0))</f>
        <v>2590.77</v>
      </c>
      <c r="D67" s="87">
        <f>'⚙️ Setup'!E19</f>
        <v>33772.5</v>
      </c>
      <c r="E67" s="87">
        <f>'⚙️ Setup'!F19</f>
        <v>24625.78</v>
      </c>
      <c r="F67" s="88">
        <f>'⚙️ Setup'!F19*0.75</f>
        <v>18469.334999999999</v>
      </c>
      <c r="G67" s="89">
        <f>'⚙️ Setup'!F19</f>
        <v>24625.78</v>
      </c>
      <c r="H67" s="90">
        <f>'⚙️ Setup'!F19</f>
        <v>24625.78</v>
      </c>
    </row>
    <row r="68" spans="1:8" ht="18" customHeight="1" x14ac:dyDescent="0.35">
      <c r="A68" s="91" t="s">
        <v>234</v>
      </c>
      <c r="B68" s="92">
        <f>IF((IFERROR('📅 Mar'!G11,0)+IFERROR('📅 Apr'!G11,0))=0,"",IFERROR('📅 Mar'!G11,0)+IFERROR('📅 Apr'!G11,0))</f>
        <v>2590.77</v>
      </c>
      <c r="C68" s="92">
        <f>IF((IFERROR('📅 Mar'!G11,0))&gt;0,IFERROR('📅 Mar'!G11,0),IFERROR('📅 Mar'!H11,0))+IF((IFERROR('📅 Apr'!G11,0))&gt;0,IFERROR('📅 Apr'!G11,0),IFERROR('📅 Apr'!H11,0))</f>
        <v>5459.12</v>
      </c>
      <c r="D68" s="92">
        <f>'⚙️ Setup'!E19</f>
        <v>33772.5</v>
      </c>
      <c r="E68" s="92">
        <f>'⚙️ Setup'!F19</f>
        <v>24625.78</v>
      </c>
      <c r="F68" s="88">
        <f>'⚙️ Setup'!F19*0.75</f>
        <v>18469.334999999999</v>
      </c>
      <c r="G68" s="89">
        <f>'⚙️ Setup'!F19</f>
        <v>24625.78</v>
      </c>
      <c r="H68" s="90">
        <f>'⚙️ Setup'!F19</f>
        <v>24625.78</v>
      </c>
    </row>
    <row r="69" spans="1:8" ht="18" customHeight="1" x14ac:dyDescent="0.35">
      <c r="A69" s="86" t="s">
        <v>139</v>
      </c>
      <c r="B69" s="87">
        <f>IF((IFERROR('📅 Mar'!G11,0)+IFERROR('📅 Apr'!G11,0)+IFERROR('📅 May'!G11,0))=0,"",IFERROR('📅 Mar'!G11,0)+IFERROR('📅 Apr'!G11,0)+IFERROR('📅 May'!G11,0))</f>
        <v>2590.77</v>
      </c>
      <c r="C69" s="87">
        <f>IF((IFERROR('📅 Mar'!G11,0))&gt;0,IFERROR('📅 Mar'!G11,0),IFERROR('📅 Mar'!H11,0))+IF((IFERROR('📅 Apr'!G11,0))&gt;0,IFERROR('📅 Apr'!G11,0),IFERROR('📅 Apr'!H11,0))+IF((IFERROR('📅 May'!G11,0))&gt;0,IFERROR('📅 May'!G11,0),IFERROR('📅 May'!H11,0))</f>
        <v>8234.94</v>
      </c>
      <c r="D69" s="87">
        <f>'⚙️ Setup'!E19</f>
        <v>33772.5</v>
      </c>
      <c r="E69" s="87">
        <f>'⚙️ Setup'!F19</f>
        <v>24625.78</v>
      </c>
      <c r="F69" s="88">
        <f>'⚙️ Setup'!F19*0.75</f>
        <v>18469.334999999999</v>
      </c>
      <c r="G69" s="89">
        <f>'⚙️ Setup'!F19</f>
        <v>24625.78</v>
      </c>
      <c r="H69" s="90">
        <f>'⚙️ Setup'!F19</f>
        <v>24625.78</v>
      </c>
    </row>
    <row r="70" spans="1:8" ht="18" customHeight="1" x14ac:dyDescent="0.35">
      <c r="A70" s="91" t="s">
        <v>235</v>
      </c>
      <c r="B70" s="92">
        <f>IF((IFERROR('📅 Mar'!G11,0)+IFERROR('📅 Apr'!G11,0)+IFERROR('📅 May'!G11,0)+IFERROR('📅 Jun'!G11,0))=0,"",IFERROR('📅 Mar'!G11,0)+IFERROR('📅 Apr'!G11,0)+IFERROR('📅 May'!G11,0)+IFERROR('📅 Jun'!G11,0))</f>
        <v>2590.77</v>
      </c>
      <c r="C70" s="92">
        <f>IF((IFERROR('📅 Mar'!G11,0))&gt;0,IFERROR('📅 Mar'!G11,0),IFERROR('📅 Mar'!H11,0))+IF((IFERROR('📅 Apr'!G11,0))&gt;0,IFERROR('📅 Apr'!G11,0),IFERROR('📅 Apr'!H11,0))+IF((IFERROR('📅 May'!G11,0))&gt;0,IFERROR('📅 May'!G11,0),IFERROR('📅 May'!H11,0))+IF((IFERROR('📅 Jun'!G11,0))&gt;0,IFERROR('📅 Jun'!G11,0),IFERROR('📅 Jun'!H11,0))</f>
        <v>11103.29</v>
      </c>
      <c r="D70" s="92">
        <f>'⚙️ Setup'!E19</f>
        <v>33772.5</v>
      </c>
      <c r="E70" s="92">
        <f>'⚙️ Setup'!F19</f>
        <v>24625.78</v>
      </c>
      <c r="F70" s="88">
        <f>'⚙️ Setup'!F19*0.75</f>
        <v>18469.334999999999</v>
      </c>
      <c r="G70" s="89">
        <f>'⚙️ Setup'!F19</f>
        <v>24625.78</v>
      </c>
      <c r="H70" s="90">
        <f>'⚙️ Setup'!F19</f>
        <v>24625.78</v>
      </c>
    </row>
    <row r="71" spans="1:8" ht="18" customHeight="1" x14ac:dyDescent="0.35">
      <c r="A71" s="86" t="s">
        <v>236</v>
      </c>
      <c r="B71" s="87">
        <f>IF((IFERROR('📅 Mar'!G11,0)+IFERROR('📅 Apr'!G11,0)+IFERROR('📅 May'!G11,0)+IFERROR('📅 Jun'!G11,0)+IFERROR('📅 Jul'!G11,0))=0,"",IFERROR('📅 Mar'!G11,0)+IFERROR('📅 Apr'!G11,0)+IFERROR('📅 May'!G11,0)+IFERROR('📅 Jun'!G11,0)+IFERROR('📅 Jul'!G11,0))</f>
        <v>2590.77</v>
      </c>
      <c r="C71" s="87">
        <f>IF((IFERROR('📅 Mar'!G11,0))&gt;0,IFERROR('📅 Mar'!G11,0),IFERROR('📅 Mar'!H11,0))+IF((IFERROR('📅 Apr'!G11,0))&gt;0,IFERROR('📅 Apr'!G11,0),IFERROR('📅 Apr'!H11,0))+IF((IFERROR('📅 May'!G11,0))&gt;0,IFERROR('📅 May'!G11,0),IFERROR('📅 May'!H11,0))+IF((IFERROR('📅 Jun'!G11,0))&gt;0,IFERROR('📅 Jun'!G11,0),IFERROR('📅 Jun'!H11,0))+IF((IFERROR('📅 Jul'!G11,0))&gt;0,IFERROR('📅 Jul'!G11,0),IFERROR('📅 Jul'!H11,0))</f>
        <v>13879.11</v>
      </c>
      <c r="D71" s="87">
        <f>'⚙️ Setup'!E19</f>
        <v>33772.5</v>
      </c>
      <c r="E71" s="87">
        <f>'⚙️ Setup'!F19</f>
        <v>24625.78</v>
      </c>
      <c r="F71" s="88">
        <f>'⚙️ Setup'!F19*0.75</f>
        <v>18469.334999999999</v>
      </c>
      <c r="G71" s="89">
        <f>'⚙️ Setup'!F19</f>
        <v>24625.78</v>
      </c>
      <c r="H71" s="90">
        <f>'⚙️ Setup'!F19</f>
        <v>24625.78</v>
      </c>
    </row>
    <row r="72" spans="1:8" ht="18" customHeight="1" x14ac:dyDescent="0.35">
      <c r="A72" s="91" t="s">
        <v>237</v>
      </c>
      <c r="B72" s="92">
        <f>IF((IFERROR('📅 Mar'!G11,0)+IFERROR('📅 Apr'!G11,0)+IFERROR('📅 May'!G11,0)+IFERROR('📅 Jun'!G11,0)+IFERROR('📅 Jul'!G11,0)+IFERROR('📅 Aug'!G11,0))=0,"",IFERROR('📅 Mar'!G11,0)+IFERROR('📅 Apr'!G11,0)+IFERROR('📅 May'!G11,0)+IFERROR('📅 Jun'!G11,0)+IFERROR('📅 Jul'!G11,0)+IFERROR('📅 Aug'!G11,0))</f>
        <v>2590.77</v>
      </c>
      <c r="C72" s="92">
        <f>IF((IFERROR('📅 Mar'!G11,0))&gt;0,IFERROR('📅 Mar'!G11,0),IFERROR('📅 Mar'!H11,0))+IF((IFERROR('📅 Apr'!G11,0))&gt;0,IFERROR('📅 Apr'!G11,0),IFERROR('📅 Apr'!H11,0))+IF((IFERROR('📅 May'!G11,0))&gt;0,IFERROR('📅 May'!G11,0),IFERROR('📅 May'!H11,0))+IF((IFERROR('📅 Jun'!G11,0))&gt;0,IFERROR('📅 Jun'!G11,0),IFERROR('📅 Jun'!H11,0))+IF((IFERROR('📅 Jul'!G11,0))&gt;0,IFERROR('📅 Jul'!G11,0),IFERROR('📅 Jul'!H11,0))+IF((IFERROR('📅 Aug'!G11,0))&gt;0,IFERROR('📅 Aug'!G11,0),IFERROR('📅 Aug'!H11,0))</f>
        <v>16747.46</v>
      </c>
      <c r="D72" s="92">
        <f>'⚙️ Setup'!E19</f>
        <v>33772.5</v>
      </c>
      <c r="E72" s="92">
        <f>'⚙️ Setup'!F19</f>
        <v>24625.78</v>
      </c>
      <c r="F72" s="88">
        <f>'⚙️ Setup'!F19*0.75</f>
        <v>18469.334999999999</v>
      </c>
      <c r="G72" s="89">
        <f>'⚙️ Setup'!F19</f>
        <v>24625.78</v>
      </c>
      <c r="H72" s="90">
        <f>'⚙️ Setup'!F19</f>
        <v>24625.78</v>
      </c>
    </row>
    <row r="73" spans="1:8" ht="18" customHeight="1" x14ac:dyDescent="0.35">
      <c r="A73" s="86" t="s">
        <v>238</v>
      </c>
      <c r="B73" s="87">
        <f>IF((IFERROR('📅 Mar'!G11,0)+IFERROR('📅 Apr'!G11,0)+IFERROR('📅 May'!G11,0)+IFERROR('📅 Jun'!G11,0)+IFERROR('📅 Jul'!G11,0)+IFERROR('📅 Aug'!G11,0)+IFERROR('📅 Sep'!G11,0))=0,"",IFERROR('📅 Mar'!G11,0)+IFERROR('📅 Apr'!G11,0)+IFERROR('📅 May'!G11,0)+IFERROR('📅 Jun'!G11,0)+IFERROR('📅 Jul'!G11,0)+IFERROR('📅 Aug'!G11,0)+IFERROR('📅 Sep'!G11,0))</f>
        <v>2590.77</v>
      </c>
      <c r="C73" s="87">
        <f>IF((IFERROR('📅 Mar'!G11,0))&gt;0,IFERROR('📅 Mar'!G11,0),IFERROR('📅 Mar'!H11,0))+IF((IFERROR('📅 Apr'!G11,0))&gt;0,IFERROR('📅 Apr'!G11,0),IFERROR('📅 Apr'!H11,0))+IF((IFERROR('📅 May'!G11,0))&gt;0,IFERROR('📅 May'!G11,0),IFERROR('📅 May'!H11,0))+IF((IFERROR('📅 Jun'!G11,0))&gt;0,IFERROR('📅 Jun'!G11,0),IFERROR('📅 Jun'!H11,0))+IF((IFERROR('📅 Jul'!G11,0))&gt;0,IFERROR('📅 Jul'!G11,0),IFERROR('📅 Jul'!H11,0))+IF((IFERROR('📅 Aug'!G11,0))&gt;0,IFERROR('📅 Aug'!G11,0),IFERROR('📅 Aug'!H11,0))+IF((IFERROR('📅 Sep'!G11,0))&gt;0,IFERROR('📅 Sep'!G11,0),IFERROR('📅 Sep'!H11,0))</f>
        <v>19615.809999999998</v>
      </c>
      <c r="D73" s="87">
        <f>'⚙️ Setup'!E19</f>
        <v>33772.5</v>
      </c>
      <c r="E73" s="87">
        <f>'⚙️ Setup'!F19</f>
        <v>24625.78</v>
      </c>
      <c r="F73" s="88">
        <f>'⚙️ Setup'!F19*0.75</f>
        <v>18469.334999999999</v>
      </c>
      <c r="G73" s="89">
        <f>'⚙️ Setup'!F19</f>
        <v>24625.78</v>
      </c>
      <c r="H73" s="90">
        <f>'⚙️ Setup'!F19</f>
        <v>24625.78</v>
      </c>
    </row>
    <row r="74" spans="1:8" ht="18" customHeight="1" x14ac:dyDescent="0.35">
      <c r="A74" s="91" t="s">
        <v>239</v>
      </c>
      <c r="B74" s="92">
        <f>IF((IFERROR('📅 Mar'!G11,0)+IFERROR('📅 Apr'!G11,0)+IFERROR('📅 May'!G11,0)+IFERROR('📅 Jun'!G11,0)+IFERROR('📅 Jul'!G11,0)+IFERROR('📅 Aug'!G11,0)+IFERROR('📅 Sep'!G11,0)+IFERROR('📅 Oct'!G11,0))=0,"",IFERROR('📅 Mar'!G11,0)+IFERROR('📅 Apr'!G11,0)+IFERROR('📅 May'!G11,0)+IFERROR('📅 Jun'!G11,0)+IFERROR('📅 Jul'!G11,0)+IFERROR('📅 Aug'!G11,0)+IFERROR('📅 Sep'!G11,0)+IFERROR('📅 Oct'!G11,0))</f>
        <v>2590.77</v>
      </c>
      <c r="C74" s="92">
        <f>IF((IFERROR('📅 Mar'!G11,0))&gt;0,IFERROR('📅 Mar'!G11,0),IFERROR('📅 Mar'!H11,0))+IF((IFERROR('📅 Apr'!G11,0))&gt;0,IFERROR('📅 Apr'!G11,0),IFERROR('📅 Apr'!H11,0))+IF((IFERROR('📅 May'!G11,0))&gt;0,IFERROR('📅 May'!G11,0),IFERROR('📅 May'!H11,0))+IF((IFERROR('📅 Jun'!G11,0))&gt;0,IFERROR('📅 Jun'!G11,0),IFERROR('📅 Jun'!H11,0))+IF((IFERROR('📅 Jul'!G11,0))&gt;0,IFERROR('📅 Jul'!G11,0),IFERROR('📅 Jul'!H11,0))+IF((IFERROR('📅 Aug'!G11,0))&gt;0,IFERROR('📅 Aug'!G11,0),IFERROR('📅 Aug'!H11,0))+IF((IFERROR('📅 Sep'!G11,0))&gt;0,IFERROR('📅 Sep'!G11,0),IFERROR('📅 Sep'!H11,0))+IF((IFERROR('📅 Oct'!G11,0))&gt;0,IFERROR('📅 Oct'!G11,0),IFERROR('📅 Oct'!H11,0))</f>
        <v>22391.629999999997</v>
      </c>
      <c r="D74" s="92">
        <f>'⚙️ Setup'!E19</f>
        <v>33772.5</v>
      </c>
      <c r="E74" s="92">
        <f>'⚙️ Setup'!F19</f>
        <v>24625.78</v>
      </c>
      <c r="F74" s="88">
        <f>'⚙️ Setup'!F19*0.75</f>
        <v>18469.334999999999</v>
      </c>
      <c r="G74" s="89">
        <f>'⚙️ Setup'!F19</f>
        <v>24625.78</v>
      </c>
      <c r="H74" s="90">
        <f>'⚙️ Setup'!F19</f>
        <v>24625.78</v>
      </c>
    </row>
    <row r="75" spans="1:8" ht="18" customHeight="1" x14ac:dyDescent="0.35">
      <c r="A75" s="86" t="s">
        <v>240</v>
      </c>
      <c r="B75" s="87">
        <f>IF((IFERROR('📅 Mar'!G11,0)+IFERROR('📅 Apr'!G11,0)+IFERROR('📅 May'!G11,0)+IFERROR('📅 Jun'!G11,0)+IFERROR('📅 Jul'!G11,0)+IFERROR('📅 Aug'!G11,0)+IFERROR('📅 Sep'!G11,0)+IFERROR('📅 Oct'!G11,0)+IFERROR('📅 Nov'!G11,0))=0,"",IFERROR('📅 Mar'!G11,0)+IFERROR('📅 Apr'!G11,0)+IFERROR('📅 May'!G11,0)+IFERROR('📅 Jun'!G11,0)+IFERROR('📅 Jul'!G11,0)+IFERROR('📅 Aug'!G11,0)+IFERROR('📅 Sep'!G11,0)+IFERROR('📅 Oct'!G11,0)+IFERROR('📅 Nov'!G11,0))</f>
        <v>2590.77</v>
      </c>
      <c r="C75" s="87">
        <f>IF((IFERROR('📅 Mar'!G11,0))&gt;0,IFERROR('📅 Mar'!G11,0),IFERROR('📅 Mar'!H11,0))+IF((IFERROR('📅 Apr'!G11,0))&gt;0,IFERROR('📅 Apr'!G11,0),IFERROR('📅 Apr'!H11,0))+IF((IFERROR('📅 May'!G11,0))&gt;0,IFERROR('📅 May'!G11,0),IFERROR('📅 May'!H11,0))+IF((IFERROR('📅 Jun'!G11,0))&gt;0,IFERROR('📅 Jun'!G11,0),IFERROR('📅 Jun'!H11,0))+IF((IFERROR('📅 Jul'!G11,0))&gt;0,IFERROR('📅 Jul'!G11,0),IFERROR('📅 Jul'!H11,0))+IF((IFERROR('📅 Aug'!G11,0))&gt;0,IFERROR('📅 Aug'!G11,0),IFERROR('📅 Aug'!H11,0))+IF((IFERROR('📅 Sep'!G11,0))&gt;0,IFERROR('📅 Sep'!G11,0),IFERROR('📅 Sep'!H11,0))+IF((IFERROR('📅 Oct'!G11,0))&gt;0,IFERROR('📅 Oct'!G11,0),IFERROR('📅 Oct'!H11,0))+IF((IFERROR('📅 Nov'!G11,0))&gt;0,IFERROR('📅 Nov'!G11,0),IFERROR('📅 Nov'!H11,0))</f>
        <v>25259.979999999996</v>
      </c>
      <c r="D75" s="87">
        <f>'⚙️ Setup'!E19</f>
        <v>33772.5</v>
      </c>
      <c r="E75" s="87">
        <f>'⚙️ Setup'!F19</f>
        <v>24625.78</v>
      </c>
      <c r="F75" s="88">
        <f>'⚙️ Setup'!F19*0.75</f>
        <v>18469.334999999999</v>
      </c>
      <c r="G75" s="89">
        <f>'⚙️ Setup'!F19</f>
        <v>24625.78</v>
      </c>
      <c r="H75" s="90">
        <f>'⚙️ Setup'!F19</f>
        <v>24625.78</v>
      </c>
    </row>
    <row r="76" spans="1:8" ht="18" customHeight="1" x14ac:dyDescent="0.35">
      <c r="A76" s="91" t="s">
        <v>241</v>
      </c>
      <c r="B76" s="92">
        <f>IF((IFERROR('📅 Mar'!G11,0)+IFERROR('📅 Apr'!G11,0)+IFERROR('📅 May'!G11,0)+IFERROR('📅 Jun'!G11,0)+IFERROR('📅 Jul'!G11,0)+IFERROR('📅 Aug'!G11,0)+IFERROR('📅 Sep'!G11,0)+IFERROR('📅 Oct'!G11,0)+IFERROR('📅 Nov'!G11,0)+IFERROR('📅 Dec'!G11,0))=0,"",IFERROR('📅 Mar'!G11,0)+IFERROR('📅 Apr'!G11,0)+IFERROR('📅 May'!G11,0)+IFERROR('📅 Jun'!G11,0)+IFERROR('📅 Jul'!G11,0)+IFERROR('📅 Aug'!G11,0)+IFERROR('📅 Sep'!G11,0)+IFERROR('📅 Oct'!G11,0)+IFERROR('📅 Nov'!G11,0)+IFERROR('📅 Dec'!G11,0))</f>
        <v>2590.77</v>
      </c>
      <c r="C76" s="92">
        <f>IF((IFERROR('📅 Mar'!G11,0))&gt;0,IFERROR('📅 Mar'!G11,0),IFERROR('📅 Mar'!H11,0))+IF((IFERROR('📅 Apr'!G11,0))&gt;0,IFERROR('📅 Apr'!G11,0),IFERROR('📅 Apr'!H11,0))+IF((IFERROR('📅 May'!G11,0))&gt;0,IFERROR('📅 May'!G11,0),IFERROR('📅 May'!H11,0))+IF((IFERROR('📅 Jun'!G11,0))&gt;0,IFERROR('📅 Jun'!G11,0),IFERROR('📅 Jun'!H11,0))+IF((IFERROR('📅 Jul'!G11,0))&gt;0,IFERROR('📅 Jul'!G11,0),IFERROR('📅 Jul'!H11,0))+IF((IFERROR('📅 Aug'!G11,0))&gt;0,IFERROR('📅 Aug'!G11,0),IFERROR('📅 Aug'!H11,0))+IF((IFERROR('📅 Sep'!G11,0))&gt;0,IFERROR('📅 Sep'!G11,0),IFERROR('📅 Sep'!H11,0))+IF((IFERROR('📅 Oct'!G11,0))&gt;0,IFERROR('📅 Oct'!G11,0),IFERROR('📅 Oct'!H11,0))+IF((IFERROR('📅 Nov'!G11,0))&gt;0,IFERROR('📅 Nov'!G11,0),IFERROR('📅 Nov'!H11,0))+IF((IFERROR('📅 Dec'!G11,0))&gt;0,IFERROR('📅 Dec'!G11,0),IFERROR('📅 Dec'!H11,0))</f>
        <v>28035.799999999996</v>
      </c>
      <c r="D76" s="92">
        <f>'⚙️ Setup'!E19</f>
        <v>33772.5</v>
      </c>
      <c r="E76" s="92">
        <f>'⚙️ Setup'!F19</f>
        <v>24625.78</v>
      </c>
      <c r="F76" s="88">
        <f>'⚙️ Setup'!F19*0.75</f>
        <v>18469.334999999999</v>
      </c>
      <c r="G76" s="89">
        <f>'⚙️ Setup'!F19</f>
        <v>24625.78</v>
      </c>
      <c r="H76" s="90">
        <f>'⚙️ Setup'!F19</f>
        <v>24625.78</v>
      </c>
    </row>
    <row r="77" spans="1:8" ht="18" customHeight="1" x14ac:dyDescent="0.35">
      <c r="A77" s="86" t="s">
        <v>242</v>
      </c>
      <c r="B77" s="87">
        <f>IF((IFERROR('📅 Mar'!G11,0)+IFERROR('📅 Apr'!G11,0)+IFERROR('📅 May'!G11,0)+IFERROR('📅 Jun'!G11,0)+IFERROR('📅 Jul'!G11,0)+IFERROR('📅 Aug'!G11,0)+IFERROR('📅 Sep'!G11,0)+IFERROR('📅 Oct'!G11,0)+IFERROR('📅 Nov'!G11,0)+IFERROR('📅 Dec'!G11,0)+IFERROR('📅 Jan'!G11,0))=0,"",IFERROR('📅 Mar'!G11,0)+IFERROR('📅 Apr'!G11,0)+IFERROR('📅 May'!G11,0)+IFERROR('📅 Jun'!G11,0)+IFERROR('📅 Jul'!G11,0)+IFERROR('📅 Aug'!G11,0)+IFERROR('📅 Sep'!G11,0)+IFERROR('📅 Oct'!G11,0)+IFERROR('📅 Nov'!G11,0)+IFERROR('📅 Dec'!G11,0)+IFERROR('📅 Jan'!G11,0))</f>
        <v>2590.77</v>
      </c>
      <c r="C77" s="87">
        <f>IF((IFERROR('📅 Mar'!G11,0))&gt;0,IFERROR('📅 Mar'!G11,0),IFERROR('📅 Mar'!H11,0))+IF((IFERROR('📅 Apr'!G11,0))&gt;0,IFERROR('📅 Apr'!G11,0),IFERROR('📅 Apr'!H11,0))+IF((IFERROR('📅 May'!G11,0))&gt;0,IFERROR('📅 May'!G11,0),IFERROR('📅 May'!H11,0))+IF((IFERROR('📅 Jun'!G11,0))&gt;0,IFERROR('📅 Jun'!G11,0),IFERROR('📅 Jun'!H11,0))+IF((IFERROR('📅 Jul'!G11,0))&gt;0,IFERROR('📅 Jul'!G11,0),IFERROR('📅 Jul'!H11,0))+IF((IFERROR('📅 Aug'!G11,0))&gt;0,IFERROR('📅 Aug'!G11,0),IFERROR('📅 Aug'!H11,0))+IF((IFERROR('📅 Sep'!G11,0))&gt;0,IFERROR('📅 Sep'!G11,0),IFERROR('📅 Sep'!H11,0))+IF((IFERROR('📅 Oct'!G11,0))&gt;0,IFERROR('📅 Oct'!G11,0),IFERROR('📅 Oct'!H11,0))+IF((IFERROR('📅 Nov'!G11,0))&gt;0,IFERROR('📅 Nov'!G11,0),IFERROR('📅 Nov'!H11,0))+IF((IFERROR('📅 Dec'!G11,0))&gt;0,IFERROR('📅 Dec'!G11,0),IFERROR('📅 Dec'!H11,0))+IF((IFERROR('📅 Jan'!G11,0))&gt;0,IFERROR('📅 Jan'!G11,0),IFERROR('📅 Jan'!H11,0))</f>
        <v>30904.149999999994</v>
      </c>
      <c r="D77" s="87">
        <f>'⚙️ Setup'!E19</f>
        <v>33772.5</v>
      </c>
      <c r="E77" s="87">
        <f>'⚙️ Setup'!F19</f>
        <v>24625.78</v>
      </c>
      <c r="F77" s="88">
        <f>'⚙️ Setup'!F19*0.75</f>
        <v>18469.334999999999</v>
      </c>
      <c r="G77" s="89">
        <f>'⚙️ Setup'!F19</f>
        <v>24625.78</v>
      </c>
      <c r="H77" s="90">
        <f>'⚙️ Setup'!F19</f>
        <v>24625.78</v>
      </c>
    </row>
    <row r="78" spans="1:8" ht="18" customHeight="1" x14ac:dyDescent="0.35">
      <c r="A78" s="91" t="s">
        <v>243</v>
      </c>
      <c r="B78" s="92">
        <f>IF((IFERROR('📅 Mar'!G11,0)+IFERROR('📅 Apr'!G11,0)+IFERROR('📅 May'!G11,0)+IFERROR('📅 Jun'!G11,0)+IFERROR('📅 Jul'!G11,0)+IFERROR('📅 Aug'!G11,0)+IFERROR('📅 Sep'!G11,0)+IFERROR('📅 Oct'!G11,0)+IFERROR('📅 Nov'!G11,0)+IFERROR('📅 Dec'!G11,0)+IFERROR('📅 Jan'!G11,0)+IFERROR('📅 Feb-E'!G11,0))=0,"",IFERROR('📅 Mar'!G11,0)+IFERROR('📅 Apr'!G11,0)+IFERROR('📅 May'!G11,0)+IFERROR('📅 Jun'!G11,0)+IFERROR('📅 Jul'!G11,0)+IFERROR('📅 Aug'!G11,0)+IFERROR('📅 Sep'!G11,0)+IFERROR('📅 Oct'!G11,0)+IFERROR('📅 Nov'!G11,0)+IFERROR('📅 Dec'!G11,0)+IFERROR('📅 Jan'!G11,0)+IFERROR('📅 Feb-E'!G11,0))</f>
        <v>2590.77</v>
      </c>
      <c r="C78" s="92">
        <f>IF((IFERROR('📅 Mar'!G11,0))&gt;0,IFERROR('📅 Mar'!G11,0),IFERROR('📅 Mar'!H11,0))+IF((IFERROR('📅 Apr'!G11,0))&gt;0,IFERROR('📅 Apr'!G11,0),IFERROR('📅 Apr'!H11,0))+IF((IFERROR('📅 May'!G11,0))&gt;0,IFERROR('📅 May'!G11,0),IFERROR('📅 May'!H11,0))+IF((IFERROR('📅 Jun'!G11,0))&gt;0,IFERROR('📅 Jun'!G11,0),IFERROR('📅 Jun'!H11,0))+IF((IFERROR('📅 Jul'!G11,0))&gt;0,IFERROR('📅 Jul'!G11,0),IFERROR('📅 Jul'!H11,0))+IF((IFERROR('📅 Aug'!G11,0))&gt;0,IFERROR('📅 Aug'!G11,0),IFERROR('📅 Aug'!H11,0))+IF((IFERROR('📅 Sep'!G11,0))&gt;0,IFERROR('📅 Sep'!G11,0),IFERROR('📅 Sep'!H11,0))+IF((IFERROR('📅 Oct'!G11,0))&gt;0,IFERROR('📅 Oct'!G11,0),IFERROR('📅 Oct'!H11,0))+IF((IFERROR('📅 Nov'!G11,0))&gt;0,IFERROR('📅 Nov'!G11,0),IFERROR('📅 Nov'!H11,0))+IF((IFERROR('📅 Dec'!G11,0))&gt;0,IFERROR('📅 Dec'!G11,0),IFERROR('📅 Dec'!H11,0))+IF((IFERROR('📅 Jan'!G11,0))&gt;0,IFERROR('📅 Jan'!G11,0),IFERROR('📅 Jan'!H11,0))+IF((IFERROR('📅 Feb-E'!G11,0))&gt;0,IFERROR('📅 Feb-E'!G11,0),IFERROR('📅 Feb-E'!H11,0))</f>
        <v>33772.499999999993</v>
      </c>
      <c r="D78" s="92">
        <f>'⚙️ Setup'!E19</f>
        <v>33772.5</v>
      </c>
      <c r="E78" s="92">
        <f>'⚙️ Setup'!F19</f>
        <v>24625.78</v>
      </c>
      <c r="F78" s="88">
        <f>'⚙️ Setup'!F19*0.75</f>
        <v>18469.334999999999</v>
      </c>
      <c r="G78" s="89">
        <f>'⚙️ Setup'!F19</f>
        <v>24625.78</v>
      </c>
      <c r="H78" s="90">
        <f>'⚙️ Setup'!F19</f>
        <v>24625.78</v>
      </c>
    </row>
    <row r="79" spans="1:8" ht="19.5" customHeight="1" x14ac:dyDescent="0.35">
      <c r="A79" s="107" t="s">
        <v>244</v>
      </c>
      <c r="B79" s="108"/>
      <c r="C79" s="116" t="str" cm="1">
        <f t="array" ref="C79">IFERROR(INDEX(A67:A78,_xlfn.AGGREGATE(15,6,(ROW(A67:A78)-ROW(A67)+1)/(C67:C78&gt;='⚙️ Setup'!F19*0.75),1)),"Not yet projected")</f>
        <v>Sep</v>
      </c>
      <c r="D79" s="110"/>
      <c r="E79" s="108"/>
    </row>
    <row r="80" spans="1:8" ht="19.5" customHeight="1" x14ac:dyDescent="0.35">
      <c r="A80" s="111" t="s">
        <v>245</v>
      </c>
      <c r="B80" s="108"/>
      <c r="C80" s="109" t="str" cm="1">
        <f t="array" ref="C80">IFERROR(INDEX(A67:A78,_xlfn.AGGREGATE(15,6,(ROW(A67:A78)-ROW(A67)+1)/(C67:C78&gt;='⚙️ Setup'!F19),1)),"Not yet projected")</f>
        <v>Nov</v>
      </c>
      <c r="D80" s="110"/>
      <c r="E80" s="110"/>
    </row>
    <row r="81" spans="1:8" ht="19.5" customHeight="1" x14ac:dyDescent="0.35">
      <c r="A81" s="114" t="s">
        <v>76</v>
      </c>
      <c r="B81" s="115"/>
      <c r="C81" s="115"/>
      <c r="D81" s="115"/>
      <c r="E81" s="115"/>
      <c r="F81" s="115"/>
      <c r="G81" s="115"/>
    </row>
    <row r="82" spans="1:8" ht="24" customHeight="1" x14ac:dyDescent="0.35">
      <c r="A82" s="41" t="s">
        <v>203</v>
      </c>
      <c r="B82" s="93" t="s">
        <v>228</v>
      </c>
      <c r="C82" s="93" t="s">
        <v>229</v>
      </c>
      <c r="D82" s="93" t="s">
        <v>220</v>
      </c>
      <c r="E82" s="93" t="s">
        <v>221</v>
      </c>
      <c r="F82" s="93" t="s">
        <v>230</v>
      </c>
      <c r="G82" s="41" t="s">
        <v>231</v>
      </c>
      <c r="H82" s="81" t="s">
        <v>232</v>
      </c>
    </row>
    <row r="83" spans="1:8" ht="18" customHeight="1" x14ac:dyDescent="0.35">
      <c r="A83" s="86" t="s">
        <v>233</v>
      </c>
      <c r="B83" s="87">
        <f>IF((IFERROR('📅 Mar'!G12,0))=0,"",IFERROR('📅 Mar'!G12,0))</f>
        <v>15283.06</v>
      </c>
      <c r="C83" s="87">
        <f>IF((IFERROR('📅 Mar'!G12,0))&gt;0,IFERROR('📅 Mar'!G12,0),IFERROR('📅 Mar'!H12,0))</f>
        <v>15283.06</v>
      </c>
      <c r="D83" s="87">
        <f>'⚙️ Setup'!E20</f>
        <v>199225.60000000001</v>
      </c>
      <c r="E83" s="87">
        <f>'⚙️ Setup'!F20</f>
        <v>145268.66999999998</v>
      </c>
      <c r="F83" s="88">
        <f>'⚙️ Setup'!F20*0.75</f>
        <v>108951.50249999999</v>
      </c>
      <c r="G83" s="89">
        <f>'⚙️ Setup'!F20</f>
        <v>145268.66999999998</v>
      </c>
      <c r="H83" s="90">
        <f>'⚙️ Setup'!F20</f>
        <v>145268.66999999998</v>
      </c>
    </row>
    <row r="84" spans="1:8" ht="18" customHeight="1" x14ac:dyDescent="0.35">
      <c r="A84" s="91" t="s">
        <v>234</v>
      </c>
      <c r="B84" s="92">
        <f>IF((IFERROR('📅 Mar'!G12,0)+IFERROR('📅 Apr'!G12,0))=0,"",IFERROR('📅 Mar'!G12,0)+IFERROR('📅 Apr'!G12,0))</f>
        <v>15283.06</v>
      </c>
      <c r="C84" s="92">
        <f>IF((IFERROR('📅 Mar'!G12,0))&gt;0,IFERROR('📅 Mar'!G12,0),IFERROR('📅 Mar'!H12,0))+IF((IFERROR('📅 Apr'!G12,0))&gt;0,IFERROR('📅 Apr'!G12,0),IFERROR('📅 Apr'!H12,0))</f>
        <v>32203.589999999997</v>
      </c>
      <c r="D84" s="92">
        <f>'⚙️ Setup'!E20</f>
        <v>199225.60000000001</v>
      </c>
      <c r="E84" s="92">
        <f>'⚙️ Setup'!F20</f>
        <v>145268.66999999998</v>
      </c>
      <c r="F84" s="88">
        <f>'⚙️ Setup'!F20*0.75</f>
        <v>108951.50249999999</v>
      </c>
      <c r="G84" s="89">
        <f>'⚙️ Setup'!F20</f>
        <v>145268.66999999998</v>
      </c>
      <c r="H84" s="90">
        <f>'⚙️ Setup'!F20</f>
        <v>145268.66999999998</v>
      </c>
    </row>
    <row r="85" spans="1:8" ht="18" customHeight="1" x14ac:dyDescent="0.35">
      <c r="A85" s="86" t="s">
        <v>139</v>
      </c>
      <c r="B85" s="87">
        <f>IF((IFERROR('📅 Mar'!G12,0)+IFERROR('📅 Apr'!G12,0)+IFERROR('📅 May'!G12,0))=0,"",IFERROR('📅 Mar'!G12,0)+IFERROR('📅 Apr'!G12,0)+IFERROR('📅 May'!G12,0))</f>
        <v>15283.06</v>
      </c>
      <c r="C85" s="87">
        <f>IF((IFERROR('📅 Mar'!G12,0))&gt;0,IFERROR('📅 Mar'!G12,0),IFERROR('📅 Mar'!H12,0))+IF((IFERROR('📅 Apr'!G12,0))&gt;0,IFERROR('📅 Apr'!G12,0),IFERROR('📅 Apr'!H12,0))+IF((IFERROR('📅 May'!G12,0))&gt;0,IFERROR('📅 May'!G12,0),IFERROR('📅 May'!H12,0))</f>
        <v>48578.299999999996</v>
      </c>
      <c r="D85" s="87">
        <f>'⚙️ Setup'!E20</f>
        <v>199225.60000000001</v>
      </c>
      <c r="E85" s="87">
        <f>'⚙️ Setup'!F20</f>
        <v>145268.66999999998</v>
      </c>
      <c r="F85" s="88">
        <f>'⚙️ Setup'!F20*0.75</f>
        <v>108951.50249999999</v>
      </c>
      <c r="G85" s="89">
        <f>'⚙️ Setup'!F20</f>
        <v>145268.66999999998</v>
      </c>
      <c r="H85" s="90">
        <f>'⚙️ Setup'!F20</f>
        <v>145268.66999999998</v>
      </c>
    </row>
    <row r="86" spans="1:8" ht="18" customHeight="1" x14ac:dyDescent="0.35">
      <c r="A86" s="91" t="s">
        <v>235</v>
      </c>
      <c r="B86" s="92">
        <f>IF((IFERROR('📅 Mar'!G12,0)+IFERROR('📅 Apr'!G12,0)+IFERROR('📅 May'!G12,0)+IFERROR('📅 Jun'!G12,0))=0,"",IFERROR('📅 Mar'!G12,0)+IFERROR('📅 Apr'!G12,0)+IFERROR('📅 May'!G12,0)+IFERROR('📅 Jun'!G12,0))</f>
        <v>15283.06</v>
      </c>
      <c r="C86" s="92">
        <f>IF((IFERROR('📅 Mar'!G12,0))&gt;0,IFERROR('📅 Mar'!G12,0),IFERROR('📅 Mar'!H12,0))+IF((IFERROR('📅 Apr'!G12,0))&gt;0,IFERROR('📅 Apr'!G12,0),IFERROR('📅 Apr'!H12,0))+IF((IFERROR('📅 May'!G12,0))&gt;0,IFERROR('📅 May'!G12,0),IFERROR('📅 May'!H12,0))+IF((IFERROR('📅 Jun'!G12,0))&gt;0,IFERROR('📅 Jun'!G12,0),IFERROR('📅 Jun'!H12,0))</f>
        <v>65498.829999999994</v>
      </c>
      <c r="D86" s="92">
        <f>'⚙️ Setup'!E20</f>
        <v>199225.60000000001</v>
      </c>
      <c r="E86" s="92">
        <f>'⚙️ Setup'!F20</f>
        <v>145268.66999999998</v>
      </c>
      <c r="F86" s="88">
        <f>'⚙️ Setup'!F20*0.75</f>
        <v>108951.50249999999</v>
      </c>
      <c r="G86" s="89">
        <f>'⚙️ Setup'!F20</f>
        <v>145268.66999999998</v>
      </c>
      <c r="H86" s="90">
        <f>'⚙️ Setup'!F20</f>
        <v>145268.66999999998</v>
      </c>
    </row>
    <row r="87" spans="1:8" ht="18" customHeight="1" x14ac:dyDescent="0.35">
      <c r="A87" s="86" t="s">
        <v>236</v>
      </c>
      <c r="B87" s="87">
        <f>IF((IFERROR('📅 Mar'!G12,0)+IFERROR('📅 Apr'!G12,0)+IFERROR('📅 May'!G12,0)+IFERROR('📅 Jun'!G12,0)+IFERROR('📅 Jul'!G12,0))=0,"",IFERROR('📅 Mar'!G12,0)+IFERROR('📅 Apr'!G12,0)+IFERROR('📅 May'!G12,0)+IFERROR('📅 Jun'!G12,0)+IFERROR('📅 Jul'!G12,0))</f>
        <v>15283.06</v>
      </c>
      <c r="C87" s="87">
        <f>IF((IFERROR('📅 Mar'!G12,0))&gt;0,IFERROR('📅 Mar'!G12,0),IFERROR('📅 Mar'!H12,0))+IF((IFERROR('📅 Apr'!G12,0))&gt;0,IFERROR('📅 Apr'!G12,0),IFERROR('📅 Apr'!H12,0))+IF((IFERROR('📅 May'!G12,0))&gt;0,IFERROR('📅 May'!G12,0),IFERROR('📅 May'!H12,0))+IF((IFERROR('📅 Jun'!G12,0))&gt;0,IFERROR('📅 Jun'!G12,0),IFERROR('📅 Jun'!H12,0))+IF((IFERROR('📅 Jul'!G12,0))&gt;0,IFERROR('📅 Jul'!G12,0),IFERROR('📅 Jul'!H12,0))</f>
        <v>81873.539999999994</v>
      </c>
      <c r="D87" s="87">
        <f>'⚙️ Setup'!E20</f>
        <v>199225.60000000001</v>
      </c>
      <c r="E87" s="87">
        <f>'⚙️ Setup'!F20</f>
        <v>145268.66999999998</v>
      </c>
      <c r="F87" s="88">
        <f>'⚙️ Setup'!F20*0.75</f>
        <v>108951.50249999999</v>
      </c>
      <c r="G87" s="89">
        <f>'⚙️ Setup'!F20</f>
        <v>145268.66999999998</v>
      </c>
      <c r="H87" s="90">
        <f>'⚙️ Setup'!F20</f>
        <v>145268.66999999998</v>
      </c>
    </row>
    <row r="88" spans="1:8" ht="18" customHeight="1" x14ac:dyDescent="0.35">
      <c r="A88" s="91" t="s">
        <v>237</v>
      </c>
      <c r="B88" s="92">
        <f>IF((IFERROR('📅 Mar'!G12,0)+IFERROR('📅 Apr'!G12,0)+IFERROR('📅 May'!G12,0)+IFERROR('📅 Jun'!G12,0)+IFERROR('📅 Jul'!G12,0)+IFERROR('📅 Aug'!G12,0))=0,"",IFERROR('📅 Mar'!G12,0)+IFERROR('📅 Apr'!G12,0)+IFERROR('📅 May'!G12,0)+IFERROR('📅 Jun'!G12,0)+IFERROR('📅 Jul'!G12,0)+IFERROR('📅 Aug'!G12,0))</f>
        <v>15283.06</v>
      </c>
      <c r="C88" s="92">
        <f>IF((IFERROR('📅 Mar'!G12,0))&gt;0,IFERROR('📅 Mar'!G12,0),IFERROR('📅 Mar'!H12,0))+IF((IFERROR('📅 Apr'!G12,0))&gt;0,IFERROR('📅 Apr'!G12,0),IFERROR('📅 Apr'!H12,0))+IF((IFERROR('📅 May'!G12,0))&gt;0,IFERROR('📅 May'!G12,0),IFERROR('📅 May'!H12,0))+IF((IFERROR('📅 Jun'!G12,0))&gt;0,IFERROR('📅 Jun'!G12,0),IFERROR('📅 Jun'!H12,0))+IF((IFERROR('📅 Jul'!G12,0))&gt;0,IFERROR('📅 Jul'!G12,0),IFERROR('📅 Jul'!H12,0))+IF((IFERROR('📅 Aug'!G12,0))&gt;0,IFERROR('📅 Aug'!G12,0),IFERROR('📅 Aug'!H12,0))</f>
        <v>98794.069999999992</v>
      </c>
      <c r="D88" s="92">
        <f>'⚙️ Setup'!E20</f>
        <v>199225.60000000001</v>
      </c>
      <c r="E88" s="92">
        <f>'⚙️ Setup'!F20</f>
        <v>145268.66999999998</v>
      </c>
      <c r="F88" s="88">
        <f>'⚙️ Setup'!F20*0.75</f>
        <v>108951.50249999999</v>
      </c>
      <c r="G88" s="89">
        <f>'⚙️ Setup'!F20</f>
        <v>145268.66999999998</v>
      </c>
      <c r="H88" s="90">
        <f>'⚙️ Setup'!F20</f>
        <v>145268.66999999998</v>
      </c>
    </row>
    <row r="89" spans="1:8" ht="18" customHeight="1" x14ac:dyDescent="0.35">
      <c r="A89" s="86" t="s">
        <v>238</v>
      </c>
      <c r="B89" s="87">
        <f>IF((IFERROR('📅 Mar'!G12,0)+IFERROR('📅 Apr'!G12,0)+IFERROR('📅 May'!G12,0)+IFERROR('📅 Jun'!G12,0)+IFERROR('📅 Jul'!G12,0)+IFERROR('📅 Aug'!G12,0)+IFERROR('📅 Sep'!G12,0))=0,"",IFERROR('📅 Mar'!G12,0)+IFERROR('📅 Apr'!G12,0)+IFERROR('📅 May'!G12,0)+IFERROR('📅 Jun'!G12,0)+IFERROR('📅 Jul'!G12,0)+IFERROR('📅 Aug'!G12,0)+IFERROR('📅 Sep'!G12,0))</f>
        <v>15283.06</v>
      </c>
      <c r="C89" s="87">
        <f>IF((IFERROR('📅 Mar'!G12,0))&gt;0,IFERROR('📅 Mar'!G12,0),IFERROR('📅 Mar'!H12,0))+IF((IFERROR('📅 Apr'!G12,0))&gt;0,IFERROR('📅 Apr'!G12,0),IFERROR('📅 Apr'!H12,0))+IF((IFERROR('📅 May'!G12,0))&gt;0,IFERROR('📅 May'!G12,0),IFERROR('📅 May'!H12,0))+IF((IFERROR('📅 Jun'!G12,0))&gt;0,IFERROR('📅 Jun'!G12,0),IFERROR('📅 Jun'!H12,0))+IF((IFERROR('📅 Jul'!G12,0))&gt;0,IFERROR('📅 Jul'!G12,0),IFERROR('📅 Jul'!H12,0))+IF((IFERROR('📅 Aug'!G12,0))&gt;0,IFERROR('📅 Aug'!G12,0),IFERROR('📅 Aug'!H12,0))+IF((IFERROR('📅 Sep'!G12,0))&gt;0,IFERROR('📅 Sep'!G12,0),IFERROR('📅 Sep'!H12,0))</f>
        <v>115714.59999999999</v>
      </c>
      <c r="D89" s="87">
        <f>'⚙️ Setup'!E20</f>
        <v>199225.60000000001</v>
      </c>
      <c r="E89" s="87">
        <f>'⚙️ Setup'!F20</f>
        <v>145268.66999999998</v>
      </c>
      <c r="F89" s="88">
        <f>'⚙️ Setup'!F20*0.75</f>
        <v>108951.50249999999</v>
      </c>
      <c r="G89" s="89">
        <f>'⚙️ Setup'!F20</f>
        <v>145268.66999999998</v>
      </c>
      <c r="H89" s="90">
        <f>'⚙️ Setup'!F20</f>
        <v>145268.66999999998</v>
      </c>
    </row>
    <row r="90" spans="1:8" ht="18" customHeight="1" x14ac:dyDescent="0.35">
      <c r="A90" s="91" t="s">
        <v>239</v>
      </c>
      <c r="B90" s="92">
        <f>IF((IFERROR('📅 Mar'!G12,0)+IFERROR('📅 Apr'!G12,0)+IFERROR('📅 May'!G12,0)+IFERROR('📅 Jun'!G12,0)+IFERROR('📅 Jul'!G12,0)+IFERROR('📅 Aug'!G12,0)+IFERROR('📅 Sep'!G12,0)+IFERROR('📅 Oct'!G12,0))=0,"",IFERROR('📅 Mar'!G12,0)+IFERROR('📅 Apr'!G12,0)+IFERROR('📅 May'!G12,0)+IFERROR('📅 Jun'!G12,0)+IFERROR('📅 Jul'!G12,0)+IFERROR('📅 Aug'!G12,0)+IFERROR('📅 Sep'!G12,0)+IFERROR('📅 Oct'!G12,0))</f>
        <v>15283.06</v>
      </c>
      <c r="C90" s="92">
        <f>IF((IFERROR('📅 Mar'!G12,0))&gt;0,IFERROR('📅 Mar'!G12,0),IFERROR('📅 Mar'!H12,0))+IF((IFERROR('📅 Apr'!G12,0))&gt;0,IFERROR('📅 Apr'!G12,0),IFERROR('📅 Apr'!H12,0))+IF((IFERROR('📅 May'!G12,0))&gt;0,IFERROR('📅 May'!G12,0),IFERROR('📅 May'!H12,0))+IF((IFERROR('📅 Jun'!G12,0))&gt;0,IFERROR('📅 Jun'!G12,0),IFERROR('📅 Jun'!H12,0))+IF((IFERROR('📅 Jul'!G12,0))&gt;0,IFERROR('📅 Jul'!G12,0),IFERROR('📅 Jul'!H12,0))+IF((IFERROR('📅 Aug'!G12,0))&gt;0,IFERROR('📅 Aug'!G12,0),IFERROR('📅 Aug'!H12,0))+IF((IFERROR('📅 Sep'!G12,0))&gt;0,IFERROR('📅 Sep'!G12,0),IFERROR('📅 Sep'!H12,0))+IF((IFERROR('📅 Oct'!G12,0))&gt;0,IFERROR('📅 Oct'!G12,0),IFERROR('📅 Oct'!H12,0))</f>
        <v>132089.31</v>
      </c>
      <c r="D90" s="92">
        <f>'⚙️ Setup'!E20</f>
        <v>199225.60000000001</v>
      </c>
      <c r="E90" s="92">
        <f>'⚙️ Setup'!F20</f>
        <v>145268.66999999998</v>
      </c>
      <c r="F90" s="88">
        <f>'⚙️ Setup'!F20*0.75</f>
        <v>108951.50249999999</v>
      </c>
      <c r="G90" s="89">
        <f>'⚙️ Setup'!F20</f>
        <v>145268.66999999998</v>
      </c>
      <c r="H90" s="90">
        <f>'⚙️ Setup'!F20</f>
        <v>145268.66999999998</v>
      </c>
    </row>
    <row r="91" spans="1:8" ht="18" customHeight="1" x14ac:dyDescent="0.35">
      <c r="A91" s="86" t="s">
        <v>240</v>
      </c>
      <c r="B91" s="87">
        <f>IF((IFERROR('📅 Mar'!G12,0)+IFERROR('📅 Apr'!G12,0)+IFERROR('📅 May'!G12,0)+IFERROR('📅 Jun'!G12,0)+IFERROR('📅 Jul'!G12,0)+IFERROR('📅 Aug'!G12,0)+IFERROR('📅 Sep'!G12,0)+IFERROR('📅 Oct'!G12,0)+IFERROR('📅 Nov'!G12,0))=0,"",IFERROR('📅 Mar'!G12,0)+IFERROR('📅 Apr'!G12,0)+IFERROR('📅 May'!G12,0)+IFERROR('📅 Jun'!G12,0)+IFERROR('📅 Jul'!G12,0)+IFERROR('📅 Aug'!G12,0)+IFERROR('📅 Sep'!G12,0)+IFERROR('📅 Oct'!G12,0)+IFERROR('📅 Nov'!G12,0))</f>
        <v>15283.06</v>
      </c>
      <c r="C91" s="87">
        <f>IF((IFERROR('📅 Mar'!G12,0))&gt;0,IFERROR('📅 Mar'!G12,0),IFERROR('📅 Mar'!H12,0))+IF((IFERROR('📅 Apr'!G12,0))&gt;0,IFERROR('📅 Apr'!G12,0),IFERROR('📅 Apr'!H12,0))+IF((IFERROR('📅 May'!G12,0))&gt;0,IFERROR('📅 May'!G12,0),IFERROR('📅 May'!H12,0))+IF((IFERROR('📅 Jun'!G12,0))&gt;0,IFERROR('📅 Jun'!G12,0),IFERROR('📅 Jun'!H12,0))+IF((IFERROR('📅 Jul'!G12,0))&gt;0,IFERROR('📅 Jul'!G12,0),IFERROR('📅 Jul'!H12,0))+IF((IFERROR('📅 Aug'!G12,0))&gt;0,IFERROR('📅 Aug'!G12,0),IFERROR('📅 Aug'!H12,0))+IF((IFERROR('📅 Sep'!G12,0))&gt;0,IFERROR('📅 Sep'!G12,0),IFERROR('📅 Sep'!H12,0))+IF((IFERROR('📅 Oct'!G12,0))&gt;0,IFERROR('📅 Oct'!G12,0),IFERROR('📅 Oct'!H12,0))+IF((IFERROR('📅 Nov'!G12,0))&gt;0,IFERROR('📅 Nov'!G12,0),IFERROR('📅 Nov'!H12,0))</f>
        <v>149009.84</v>
      </c>
      <c r="D91" s="87">
        <f>'⚙️ Setup'!E20</f>
        <v>199225.60000000001</v>
      </c>
      <c r="E91" s="87">
        <f>'⚙️ Setup'!F20</f>
        <v>145268.66999999998</v>
      </c>
      <c r="F91" s="88">
        <f>'⚙️ Setup'!F20*0.75</f>
        <v>108951.50249999999</v>
      </c>
      <c r="G91" s="89">
        <f>'⚙️ Setup'!F20</f>
        <v>145268.66999999998</v>
      </c>
      <c r="H91" s="90">
        <f>'⚙️ Setup'!F20</f>
        <v>145268.66999999998</v>
      </c>
    </row>
    <row r="92" spans="1:8" ht="18" customHeight="1" x14ac:dyDescent="0.35">
      <c r="A92" s="91" t="s">
        <v>241</v>
      </c>
      <c r="B92" s="92">
        <f>IF((IFERROR('📅 Mar'!G12,0)+IFERROR('📅 Apr'!G12,0)+IFERROR('📅 May'!G12,0)+IFERROR('📅 Jun'!G12,0)+IFERROR('📅 Jul'!G12,0)+IFERROR('📅 Aug'!G12,0)+IFERROR('📅 Sep'!G12,0)+IFERROR('📅 Oct'!G12,0)+IFERROR('📅 Nov'!G12,0)+IFERROR('📅 Dec'!G12,0))=0,"",IFERROR('📅 Mar'!G12,0)+IFERROR('📅 Apr'!G12,0)+IFERROR('📅 May'!G12,0)+IFERROR('📅 Jun'!G12,0)+IFERROR('📅 Jul'!G12,0)+IFERROR('📅 Aug'!G12,0)+IFERROR('📅 Sep'!G12,0)+IFERROR('📅 Oct'!G12,0)+IFERROR('📅 Nov'!G12,0)+IFERROR('📅 Dec'!G12,0))</f>
        <v>15283.06</v>
      </c>
      <c r="C92" s="92">
        <f>IF((IFERROR('📅 Mar'!G12,0))&gt;0,IFERROR('📅 Mar'!G12,0),IFERROR('📅 Mar'!H12,0))+IF((IFERROR('📅 Apr'!G12,0))&gt;0,IFERROR('📅 Apr'!G12,0),IFERROR('📅 Apr'!H12,0))+IF((IFERROR('📅 May'!G12,0))&gt;0,IFERROR('📅 May'!G12,0),IFERROR('📅 May'!H12,0))+IF((IFERROR('📅 Jun'!G12,0))&gt;0,IFERROR('📅 Jun'!G12,0),IFERROR('📅 Jun'!H12,0))+IF((IFERROR('📅 Jul'!G12,0))&gt;0,IFERROR('📅 Jul'!G12,0),IFERROR('📅 Jul'!H12,0))+IF((IFERROR('📅 Aug'!G12,0))&gt;0,IFERROR('📅 Aug'!G12,0),IFERROR('📅 Aug'!H12,0))+IF((IFERROR('📅 Sep'!G12,0))&gt;0,IFERROR('📅 Sep'!G12,0),IFERROR('📅 Sep'!H12,0))+IF((IFERROR('📅 Oct'!G12,0))&gt;0,IFERROR('📅 Oct'!G12,0),IFERROR('📅 Oct'!H12,0))+IF((IFERROR('📅 Nov'!G12,0))&gt;0,IFERROR('📅 Nov'!G12,0),IFERROR('📅 Nov'!H12,0))+IF((IFERROR('📅 Dec'!G12,0))&gt;0,IFERROR('📅 Dec'!G12,0),IFERROR('📅 Dec'!H12,0))</f>
        <v>165384.54999999999</v>
      </c>
      <c r="D92" s="92">
        <f>'⚙️ Setup'!E20</f>
        <v>199225.60000000001</v>
      </c>
      <c r="E92" s="92">
        <f>'⚙️ Setup'!F20</f>
        <v>145268.66999999998</v>
      </c>
      <c r="F92" s="88">
        <f>'⚙️ Setup'!F20*0.75</f>
        <v>108951.50249999999</v>
      </c>
      <c r="G92" s="89">
        <f>'⚙️ Setup'!F20</f>
        <v>145268.66999999998</v>
      </c>
      <c r="H92" s="90">
        <f>'⚙️ Setup'!F20</f>
        <v>145268.66999999998</v>
      </c>
    </row>
    <row r="93" spans="1:8" ht="18" customHeight="1" x14ac:dyDescent="0.35">
      <c r="A93" s="86" t="s">
        <v>242</v>
      </c>
      <c r="B93" s="87">
        <f>IF((IFERROR('📅 Mar'!G12,0)+IFERROR('📅 Apr'!G12,0)+IFERROR('📅 May'!G12,0)+IFERROR('📅 Jun'!G12,0)+IFERROR('📅 Jul'!G12,0)+IFERROR('📅 Aug'!G12,0)+IFERROR('📅 Sep'!G12,0)+IFERROR('📅 Oct'!G12,0)+IFERROR('📅 Nov'!G12,0)+IFERROR('📅 Dec'!G12,0)+IFERROR('📅 Jan'!G12,0))=0,"",IFERROR('📅 Mar'!G12,0)+IFERROR('📅 Apr'!G12,0)+IFERROR('📅 May'!G12,0)+IFERROR('📅 Jun'!G12,0)+IFERROR('📅 Jul'!G12,0)+IFERROR('📅 Aug'!G12,0)+IFERROR('📅 Sep'!G12,0)+IFERROR('📅 Oct'!G12,0)+IFERROR('📅 Nov'!G12,0)+IFERROR('📅 Dec'!G12,0)+IFERROR('📅 Jan'!G12,0))</f>
        <v>15283.06</v>
      </c>
      <c r="C93" s="87">
        <f>IF((IFERROR('📅 Mar'!G12,0))&gt;0,IFERROR('📅 Mar'!G12,0),IFERROR('📅 Mar'!H12,0))+IF((IFERROR('📅 Apr'!G12,0))&gt;0,IFERROR('📅 Apr'!G12,0),IFERROR('📅 Apr'!H12,0))+IF((IFERROR('📅 May'!G12,0))&gt;0,IFERROR('📅 May'!G12,0),IFERROR('📅 May'!H12,0))+IF((IFERROR('📅 Jun'!G12,0))&gt;0,IFERROR('📅 Jun'!G12,0),IFERROR('📅 Jun'!H12,0))+IF((IFERROR('📅 Jul'!G12,0))&gt;0,IFERROR('📅 Jul'!G12,0),IFERROR('📅 Jul'!H12,0))+IF((IFERROR('📅 Aug'!G12,0))&gt;0,IFERROR('📅 Aug'!G12,0),IFERROR('📅 Aug'!H12,0))+IF((IFERROR('📅 Sep'!G12,0))&gt;0,IFERROR('📅 Sep'!G12,0),IFERROR('📅 Sep'!H12,0))+IF((IFERROR('📅 Oct'!G12,0))&gt;0,IFERROR('📅 Oct'!G12,0),IFERROR('📅 Oct'!H12,0))+IF((IFERROR('📅 Nov'!G12,0))&gt;0,IFERROR('📅 Nov'!G12,0),IFERROR('📅 Nov'!H12,0))+IF((IFERROR('📅 Dec'!G12,0))&gt;0,IFERROR('📅 Dec'!G12,0),IFERROR('📅 Dec'!H12,0))+IF((IFERROR('📅 Jan'!G12,0))&gt;0,IFERROR('📅 Jan'!G12,0),IFERROR('📅 Jan'!H12,0))</f>
        <v>182305.08</v>
      </c>
      <c r="D93" s="87">
        <f>'⚙️ Setup'!E20</f>
        <v>199225.60000000001</v>
      </c>
      <c r="E93" s="87">
        <f>'⚙️ Setup'!F20</f>
        <v>145268.66999999998</v>
      </c>
      <c r="F93" s="88">
        <f>'⚙️ Setup'!F20*0.75</f>
        <v>108951.50249999999</v>
      </c>
      <c r="G93" s="89">
        <f>'⚙️ Setup'!F20</f>
        <v>145268.66999999998</v>
      </c>
      <c r="H93" s="90">
        <f>'⚙️ Setup'!F20</f>
        <v>145268.66999999998</v>
      </c>
    </row>
    <row r="94" spans="1:8" ht="18" customHeight="1" x14ac:dyDescent="0.35">
      <c r="A94" s="91" t="s">
        <v>243</v>
      </c>
      <c r="B94" s="92">
        <f>IF((IFERROR('📅 Mar'!G12,0)+IFERROR('📅 Apr'!G12,0)+IFERROR('📅 May'!G12,0)+IFERROR('📅 Jun'!G12,0)+IFERROR('📅 Jul'!G12,0)+IFERROR('📅 Aug'!G12,0)+IFERROR('📅 Sep'!G12,0)+IFERROR('📅 Oct'!G12,0)+IFERROR('📅 Nov'!G12,0)+IFERROR('📅 Dec'!G12,0)+IFERROR('📅 Jan'!G12,0)+IFERROR('📅 Feb-E'!G12,0))=0,"",IFERROR('📅 Mar'!G12,0)+IFERROR('📅 Apr'!G12,0)+IFERROR('📅 May'!G12,0)+IFERROR('📅 Jun'!G12,0)+IFERROR('📅 Jul'!G12,0)+IFERROR('📅 Aug'!G12,0)+IFERROR('📅 Sep'!G12,0)+IFERROR('📅 Oct'!G12,0)+IFERROR('📅 Nov'!G12,0)+IFERROR('📅 Dec'!G12,0)+IFERROR('📅 Jan'!G12,0)+IFERROR('📅 Feb-E'!G12,0))</f>
        <v>15283.06</v>
      </c>
      <c r="C94" s="92">
        <f>IF((IFERROR('📅 Mar'!G12,0))&gt;0,IFERROR('📅 Mar'!G12,0),IFERROR('📅 Mar'!H12,0))+IF((IFERROR('📅 Apr'!G12,0))&gt;0,IFERROR('📅 Apr'!G12,0),IFERROR('📅 Apr'!H12,0))+IF((IFERROR('📅 May'!G12,0))&gt;0,IFERROR('📅 May'!G12,0),IFERROR('📅 May'!H12,0))+IF((IFERROR('📅 Jun'!G12,0))&gt;0,IFERROR('📅 Jun'!G12,0),IFERROR('📅 Jun'!H12,0))+IF((IFERROR('📅 Jul'!G12,0))&gt;0,IFERROR('📅 Jul'!G12,0),IFERROR('📅 Jul'!H12,0))+IF((IFERROR('📅 Aug'!G12,0))&gt;0,IFERROR('📅 Aug'!G12,0),IFERROR('📅 Aug'!H12,0))+IF((IFERROR('📅 Sep'!G12,0))&gt;0,IFERROR('📅 Sep'!G12,0),IFERROR('📅 Sep'!H12,0))+IF((IFERROR('📅 Oct'!G12,0))&gt;0,IFERROR('📅 Oct'!G12,0),IFERROR('📅 Oct'!H12,0))+IF((IFERROR('📅 Nov'!G12,0))&gt;0,IFERROR('📅 Nov'!G12,0),IFERROR('📅 Nov'!H12,0))+IF((IFERROR('📅 Dec'!G12,0))&gt;0,IFERROR('📅 Dec'!G12,0),IFERROR('📅 Dec'!H12,0))+IF((IFERROR('📅 Jan'!G12,0))&gt;0,IFERROR('📅 Jan'!G12,0),IFERROR('📅 Jan'!H12,0))+IF((IFERROR('📅 Feb-E'!G12,0))&gt;0,IFERROR('📅 Feb-E'!G12,0),IFERROR('📅 Feb-E'!H12,0))</f>
        <v>199225.59999999998</v>
      </c>
      <c r="D94" s="92">
        <f>'⚙️ Setup'!E20</f>
        <v>199225.60000000001</v>
      </c>
      <c r="E94" s="92">
        <f>'⚙️ Setup'!F20</f>
        <v>145268.66999999998</v>
      </c>
      <c r="F94" s="88">
        <f>'⚙️ Setup'!F20*0.75</f>
        <v>108951.50249999999</v>
      </c>
      <c r="G94" s="89">
        <f>'⚙️ Setup'!F20</f>
        <v>145268.66999999998</v>
      </c>
      <c r="H94" s="90">
        <f>'⚙️ Setup'!F20</f>
        <v>145268.66999999998</v>
      </c>
    </row>
    <row r="95" spans="1:8" ht="19.5" customHeight="1" x14ac:dyDescent="0.35">
      <c r="A95" s="107" t="s">
        <v>244</v>
      </c>
      <c r="B95" s="108"/>
      <c r="C95" s="116" t="str" cm="1">
        <f t="array" ref="C95">IFERROR(INDEX(A83:A94,_xlfn.AGGREGATE(15,6,(ROW(A83:A94)-ROW(A83)+1)/(C83:C94&gt;='⚙️ Setup'!F20*0.75),1)),"Not yet projected")</f>
        <v>Sep</v>
      </c>
      <c r="D95" s="110"/>
      <c r="E95" s="108"/>
    </row>
    <row r="96" spans="1:8" ht="19.5" customHeight="1" x14ac:dyDescent="0.35">
      <c r="A96" s="111" t="s">
        <v>245</v>
      </c>
      <c r="B96" s="108"/>
      <c r="C96" s="109" t="str" cm="1">
        <f t="array" ref="C96">IFERROR(INDEX(A83:A94,_xlfn.AGGREGATE(15,6,(ROW(A83:A94)-ROW(A83)+1)/(C83:C94&gt;='⚙️ Setup'!F20),1)),"Not yet projected")</f>
        <v>Nov</v>
      </c>
      <c r="D96" s="110"/>
      <c r="E96" s="110"/>
    </row>
    <row r="97" spans="1:8" ht="19.5" customHeight="1" x14ac:dyDescent="0.35">
      <c r="A97" s="114" t="s">
        <v>77</v>
      </c>
      <c r="B97" s="115"/>
      <c r="C97" s="115"/>
      <c r="D97" s="115"/>
      <c r="E97" s="115"/>
      <c r="F97" s="115"/>
      <c r="G97" s="115"/>
    </row>
    <row r="98" spans="1:8" ht="24" customHeight="1" x14ac:dyDescent="0.35">
      <c r="A98" s="41" t="s">
        <v>203</v>
      </c>
      <c r="B98" s="93" t="s">
        <v>228</v>
      </c>
      <c r="C98" s="93" t="s">
        <v>229</v>
      </c>
      <c r="D98" s="93" t="s">
        <v>220</v>
      </c>
      <c r="E98" s="93" t="s">
        <v>221</v>
      </c>
      <c r="F98" s="93" t="s">
        <v>230</v>
      </c>
      <c r="G98" s="41" t="s">
        <v>231</v>
      </c>
      <c r="H98" s="81" t="s">
        <v>232</v>
      </c>
    </row>
    <row r="99" spans="1:8" ht="18" customHeight="1" x14ac:dyDescent="0.35">
      <c r="A99" s="86" t="s">
        <v>233</v>
      </c>
      <c r="B99" s="87">
        <f>IF((IFERROR('📅 Mar'!G13,0))=0,"",IFERROR('📅 Mar'!G13,0))</f>
        <v>20596.189999999999</v>
      </c>
      <c r="C99" s="87">
        <f>IF((IFERROR('📅 Mar'!G13,0))&gt;0,IFERROR('📅 Mar'!G13,0),IFERROR('📅 Mar'!H13,0))</f>
        <v>20596.189999999999</v>
      </c>
      <c r="D99" s="87">
        <f>'⚙️ Setup'!E21</f>
        <v>268485.99</v>
      </c>
      <c r="E99" s="87">
        <f>'⚙️ Setup'!F21</f>
        <v>268485.99</v>
      </c>
      <c r="F99" s="88">
        <f>'⚙️ Setup'!F21*0.75</f>
        <v>201364.49249999999</v>
      </c>
      <c r="G99" s="89">
        <f>'⚙️ Setup'!F21</f>
        <v>268485.99</v>
      </c>
      <c r="H99" s="90">
        <f>'⚙️ Setup'!F21</f>
        <v>268485.99</v>
      </c>
    </row>
    <row r="100" spans="1:8" ht="18" customHeight="1" x14ac:dyDescent="0.35">
      <c r="A100" s="91" t="s">
        <v>234</v>
      </c>
      <c r="B100" s="92">
        <f>IF((IFERROR('📅 Mar'!G13,0)+IFERROR('📅 Apr'!G13,0))=0,"",IFERROR('📅 Mar'!G13,0)+IFERROR('📅 Apr'!G13,0))</f>
        <v>20596.189999999999</v>
      </c>
      <c r="C100" s="92">
        <f>IF((IFERROR('📅 Mar'!G13,0))&gt;0,IFERROR('📅 Mar'!G13,0),IFERROR('📅 Mar'!H13,0))+IF((IFERROR('📅 Apr'!G13,0))&gt;0,IFERROR('📅 Apr'!G13,0),IFERROR('📅 Apr'!H13,0))</f>
        <v>43399.11</v>
      </c>
      <c r="D100" s="92">
        <f>'⚙️ Setup'!E21</f>
        <v>268485.99</v>
      </c>
      <c r="E100" s="92">
        <f>'⚙️ Setup'!F21</f>
        <v>268485.99</v>
      </c>
      <c r="F100" s="88">
        <f>'⚙️ Setup'!F21*0.75</f>
        <v>201364.49249999999</v>
      </c>
      <c r="G100" s="89">
        <f>'⚙️ Setup'!F21</f>
        <v>268485.99</v>
      </c>
      <c r="H100" s="90">
        <f>'⚙️ Setup'!F21</f>
        <v>268485.99</v>
      </c>
    </row>
    <row r="101" spans="1:8" ht="18" customHeight="1" x14ac:dyDescent="0.35">
      <c r="A101" s="86" t="s">
        <v>139</v>
      </c>
      <c r="B101" s="87">
        <f>IF((IFERROR('📅 Mar'!G13,0)+IFERROR('📅 Apr'!G13,0)+IFERROR('📅 May'!G13,0))=0,"",IFERROR('📅 Mar'!G13,0)+IFERROR('📅 Apr'!G13,0)+IFERROR('📅 May'!G13,0))</f>
        <v>20596.189999999999</v>
      </c>
      <c r="C101" s="87">
        <f>IF((IFERROR('📅 Mar'!G13,0))&gt;0,IFERROR('📅 Mar'!G13,0),IFERROR('📅 Mar'!H13,0))+IF((IFERROR('📅 Apr'!G13,0))&gt;0,IFERROR('📅 Apr'!G13,0),IFERROR('📅 Apr'!H13,0))+IF((IFERROR('📅 May'!G13,0))&gt;0,IFERROR('📅 May'!G13,0),IFERROR('📅 May'!H13,0))</f>
        <v>65466.45</v>
      </c>
      <c r="D101" s="87">
        <f>'⚙️ Setup'!E21</f>
        <v>268485.99</v>
      </c>
      <c r="E101" s="87">
        <f>'⚙️ Setup'!F21</f>
        <v>268485.99</v>
      </c>
      <c r="F101" s="88">
        <f>'⚙️ Setup'!F21*0.75</f>
        <v>201364.49249999999</v>
      </c>
      <c r="G101" s="89">
        <f>'⚙️ Setup'!F21</f>
        <v>268485.99</v>
      </c>
      <c r="H101" s="90">
        <f>'⚙️ Setup'!F21</f>
        <v>268485.99</v>
      </c>
    </row>
    <row r="102" spans="1:8" ht="18" customHeight="1" x14ac:dyDescent="0.35">
      <c r="A102" s="91" t="s">
        <v>235</v>
      </c>
      <c r="B102" s="92">
        <f>IF((IFERROR('📅 Mar'!G13,0)+IFERROR('📅 Apr'!G13,0)+IFERROR('📅 May'!G13,0)+IFERROR('📅 Jun'!G13,0))=0,"",IFERROR('📅 Mar'!G13,0)+IFERROR('📅 Apr'!G13,0)+IFERROR('📅 May'!G13,0)+IFERROR('📅 Jun'!G13,0))</f>
        <v>20596.189999999999</v>
      </c>
      <c r="C102" s="92">
        <f>IF((IFERROR('📅 Mar'!G13,0))&gt;0,IFERROR('📅 Mar'!G13,0),IFERROR('📅 Mar'!H13,0))+IF((IFERROR('📅 Apr'!G13,0))&gt;0,IFERROR('📅 Apr'!G13,0),IFERROR('📅 Apr'!H13,0))+IF((IFERROR('📅 May'!G13,0))&gt;0,IFERROR('📅 May'!G13,0),IFERROR('📅 May'!H13,0))+IF((IFERROR('📅 Jun'!G13,0))&gt;0,IFERROR('📅 Jun'!G13,0),IFERROR('📅 Jun'!H13,0))</f>
        <v>88269.37</v>
      </c>
      <c r="D102" s="92">
        <f>'⚙️ Setup'!E21</f>
        <v>268485.99</v>
      </c>
      <c r="E102" s="92">
        <f>'⚙️ Setup'!F21</f>
        <v>268485.99</v>
      </c>
      <c r="F102" s="88">
        <f>'⚙️ Setup'!F21*0.75</f>
        <v>201364.49249999999</v>
      </c>
      <c r="G102" s="89">
        <f>'⚙️ Setup'!F21</f>
        <v>268485.99</v>
      </c>
      <c r="H102" s="90">
        <f>'⚙️ Setup'!F21</f>
        <v>268485.99</v>
      </c>
    </row>
    <row r="103" spans="1:8" ht="18" customHeight="1" x14ac:dyDescent="0.35">
      <c r="A103" s="86" t="s">
        <v>236</v>
      </c>
      <c r="B103" s="87">
        <f>IF((IFERROR('📅 Mar'!G13,0)+IFERROR('📅 Apr'!G13,0)+IFERROR('📅 May'!G13,0)+IFERROR('📅 Jun'!G13,0)+IFERROR('📅 Jul'!G13,0))=0,"",IFERROR('📅 Mar'!G13,0)+IFERROR('📅 Apr'!G13,0)+IFERROR('📅 May'!G13,0)+IFERROR('📅 Jun'!G13,0)+IFERROR('📅 Jul'!G13,0))</f>
        <v>20596.189999999999</v>
      </c>
      <c r="C103" s="87">
        <f>IF((IFERROR('📅 Mar'!G13,0))&gt;0,IFERROR('📅 Mar'!G13,0),IFERROR('📅 Mar'!H13,0))+IF((IFERROR('📅 Apr'!G13,0))&gt;0,IFERROR('📅 Apr'!G13,0),IFERROR('📅 Apr'!H13,0))+IF((IFERROR('📅 May'!G13,0))&gt;0,IFERROR('📅 May'!G13,0),IFERROR('📅 May'!H13,0))+IF((IFERROR('📅 Jun'!G13,0))&gt;0,IFERROR('📅 Jun'!G13,0),IFERROR('📅 Jun'!H13,0))+IF((IFERROR('📅 Jul'!G13,0))&gt;0,IFERROR('📅 Jul'!G13,0),IFERROR('📅 Jul'!H13,0))</f>
        <v>110336.70999999999</v>
      </c>
      <c r="D103" s="87">
        <f>'⚙️ Setup'!E21</f>
        <v>268485.99</v>
      </c>
      <c r="E103" s="87">
        <f>'⚙️ Setup'!F21</f>
        <v>268485.99</v>
      </c>
      <c r="F103" s="88">
        <f>'⚙️ Setup'!F21*0.75</f>
        <v>201364.49249999999</v>
      </c>
      <c r="G103" s="89">
        <f>'⚙️ Setup'!F21</f>
        <v>268485.99</v>
      </c>
      <c r="H103" s="90">
        <f>'⚙️ Setup'!F21</f>
        <v>268485.99</v>
      </c>
    </row>
    <row r="104" spans="1:8" ht="18" customHeight="1" x14ac:dyDescent="0.35">
      <c r="A104" s="91" t="s">
        <v>237</v>
      </c>
      <c r="B104" s="92">
        <f>IF((IFERROR('📅 Mar'!G13,0)+IFERROR('📅 Apr'!G13,0)+IFERROR('📅 May'!G13,0)+IFERROR('📅 Jun'!G13,0)+IFERROR('📅 Jul'!G13,0)+IFERROR('📅 Aug'!G13,0))=0,"",IFERROR('📅 Mar'!G13,0)+IFERROR('📅 Apr'!G13,0)+IFERROR('📅 May'!G13,0)+IFERROR('📅 Jun'!G13,0)+IFERROR('📅 Jul'!G13,0)+IFERROR('📅 Aug'!G13,0))</f>
        <v>20596.189999999999</v>
      </c>
      <c r="C104" s="92">
        <f>IF((IFERROR('📅 Mar'!G13,0))&gt;0,IFERROR('📅 Mar'!G13,0),IFERROR('📅 Mar'!H13,0))+IF((IFERROR('📅 Apr'!G13,0))&gt;0,IFERROR('📅 Apr'!G13,0),IFERROR('📅 Apr'!H13,0))+IF((IFERROR('📅 May'!G13,0))&gt;0,IFERROR('📅 May'!G13,0),IFERROR('📅 May'!H13,0))+IF((IFERROR('📅 Jun'!G13,0))&gt;0,IFERROR('📅 Jun'!G13,0),IFERROR('📅 Jun'!H13,0))+IF((IFERROR('📅 Jul'!G13,0))&gt;0,IFERROR('📅 Jul'!G13,0),IFERROR('📅 Jul'!H13,0))+IF((IFERROR('📅 Aug'!G13,0))&gt;0,IFERROR('📅 Aug'!G13,0),IFERROR('📅 Aug'!H13,0))</f>
        <v>133139.63</v>
      </c>
      <c r="D104" s="92">
        <f>'⚙️ Setup'!E21</f>
        <v>268485.99</v>
      </c>
      <c r="E104" s="92">
        <f>'⚙️ Setup'!F21</f>
        <v>268485.99</v>
      </c>
      <c r="F104" s="88">
        <f>'⚙️ Setup'!F21*0.75</f>
        <v>201364.49249999999</v>
      </c>
      <c r="G104" s="89">
        <f>'⚙️ Setup'!F21</f>
        <v>268485.99</v>
      </c>
      <c r="H104" s="90">
        <f>'⚙️ Setup'!F21</f>
        <v>268485.99</v>
      </c>
    </row>
    <row r="105" spans="1:8" ht="18" customHeight="1" x14ac:dyDescent="0.35">
      <c r="A105" s="86" t="s">
        <v>238</v>
      </c>
      <c r="B105" s="87">
        <f>IF((IFERROR('📅 Mar'!G13,0)+IFERROR('📅 Apr'!G13,0)+IFERROR('📅 May'!G13,0)+IFERROR('📅 Jun'!G13,0)+IFERROR('📅 Jul'!G13,0)+IFERROR('📅 Aug'!G13,0)+IFERROR('📅 Sep'!G13,0))=0,"",IFERROR('📅 Mar'!G13,0)+IFERROR('📅 Apr'!G13,0)+IFERROR('📅 May'!G13,0)+IFERROR('📅 Jun'!G13,0)+IFERROR('📅 Jul'!G13,0)+IFERROR('📅 Aug'!G13,0)+IFERROR('📅 Sep'!G13,0))</f>
        <v>20596.189999999999</v>
      </c>
      <c r="C105" s="87">
        <f>IF((IFERROR('📅 Mar'!G13,0))&gt;0,IFERROR('📅 Mar'!G13,0),IFERROR('📅 Mar'!H13,0))+IF((IFERROR('📅 Apr'!G13,0))&gt;0,IFERROR('📅 Apr'!G13,0),IFERROR('📅 Apr'!H13,0))+IF((IFERROR('📅 May'!G13,0))&gt;0,IFERROR('📅 May'!G13,0),IFERROR('📅 May'!H13,0))+IF((IFERROR('📅 Jun'!G13,0))&gt;0,IFERROR('📅 Jun'!G13,0),IFERROR('📅 Jun'!H13,0))+IF((IFERROR('📅 Jul'!G13,0))&gt;0,IFERROR('📅 Jul'!G13,0),IFERROR('📅 Jul'!H13,0))+IF((IFERROR('📅 Aug'!G13,0))&gt;0,IFERROR('📅 Aug'!G13,0),IFERROR('📅 Aug'!H13,0))+IF((IFERROR('📅 Sep'!G13,0))&gt;0,IFERROR('📅 Sep'!G13,0),IFERROR('📅 Sep'!H13,0))</f>
        <v>155942.54999999999</v>
      </c>
      <c r="D105" s="87">
        <f>'⚙️ Setup'!E21</f>
        <v>268485.99</v>
      </c>
      <c r="E105" s="87">
        <f>'⚙️ Setup'!F21</f>
        <v>268485.99</v>
      </c>
      <c r="F105" s="88">
        <f>'⚙️ Setup'!F21*0.75</f>
        <v>201364.49249999999</v>
      </c>
      <c r="G105" s="89">
        <f>'⚙️ Setup'!F21</f>
        <v>268485.99</v>
      </c>
      <c r="H105" s="90">
        <f>'⚙️ Setup'!F21</f>
        <v>268485.99</v>
      </c>
    </row>
    <row r="106" spans="1:8" ht="18" customHeight="1" x14ac:dyDescent="0.35">
      <c r="A106" s="91" t="s">
        <v>239</v>
      </c>
      <c r="B106" s="92">
        <f>IF((IFERROR('📅 Mar'!G13,0)+IFERROR('📅 Apr'!G13,0)+IFERROR('📅 May'!G13,0)+IFERROR('📅 Jun'!G13,0)+IFERROR('📅 Jul'!G13,0)+IFERROR('📅 Aug'!G13,0)+IFERROR('📅 Sep'!G13,0)+IFERROR('📅 Oct'!G13,0))=0,"",IFERROR('📅 Mar'!G13,0)+IFERROR('📅 Apr'!G13,0)+IFERROR('📅 May'!G13,0)+IFERROR('📅 Jun'!G13,0)+IFERROR('📅 Jul'!G13,0)+IFERROR('📅 Aug'!G13,0)+IFERROR('📅 Sep'!G13,0)+IFERROR('📅 Oct'!G13,0))</f>
        <v>20596.189999999999</v>
      </c>
      <c r="C106" s="92">
        <f>IF((IFERROR('📅 Mar'!G13,0))&gt;0,IFERROR('📅 Mar'!G13,0),IFERROR('📅 Mar'!H13,0))+IF((IFERROR('📅 Apr'!G13,0))&gt;0,IFERROR('📅 Apr'!G13,0),IFERROR('📅 Apr'!H13,0))+IF((IFERROR('📅 May'!G13,0))&gt;0,IFERROR('📅 May'!G13,0),IFERROR('📅 May'!H13,0))+IF((IFERROR('📅 Jun'!G13,0))&gt;0,IFERROR('📅 Jun'!G13,0),IFERROR('📅 Jun'!H13,0))+IF((IFERROR('📅 Jul'!G13,0))&gt;0,IFERROR('📅 Jul'!G13,0),IFERROR('📅 Jul'!H13,0))+IF((IFERROR('📅 Aug'!G13,0))&gt;0,IFERROR('📅 Aug'!G13,0),IFERROR('📅 Aug'!H13,0))+IF((IFERROR('📅 Sep'!G13,0))&gt;0,IFERROR('📅 Sep'!G13,0),IFERROR('📅 Sep'!H13,0))+IF((IFERROR('📅 Oct'!G13,0))&gt;0,IFERROR('📅 Oct'!G13,0),IFERROR('📅 Oct'!H13,0))</f>
        <v>178009.88999999998</v>
      </c>
      <c r="D106" s="92">
        <f>'⚙️ Setup'!E21</f>
        <v>268485.99</v>
      </c>
      <c r="E106" s="92">
        <f>'⚙️ Setup'!F21</f>
        <v>268485.99</v>
      </c>
      <c r="F106" s="88">
        <f>'⚙️ Setup'!F21*0.75</f>
        <v>201364.49249999999</v>
      </c>
      <c r="G106" s="89">
        <f>'⚙️ Setup'!F21</f>
        <v>268485.99</v>
      </c>
      <c r="H106" s="90">
        <f>'⚙️ Setup'!F21</f>
        <v>268485.99</v>
      </c>
    </row>
    <row r="107" spans="1:8" ht="18" customHeight="1" x14ac:dyDescent="0.35">
      <c r="A107" s="86" t="s">
        <v>240</v>
      </c>
      <c r="B107" s="87">
        <f>IF((IFERROR('📅 Mar'!G13,0)+IFERROR('📅 Apr'!G13,0)+IFERROR('📅 May'!G13,0)+IFERROR('📅 Jun'!G13,0)+IFERROR('📅 Jul'!G13,0)+IFERROR('📅 Aug'!G13,0)+IFERROR('📅 Sep'!G13,0)+IFERROR('📅 Oct'!G13,0)+IFERROR('📅 Nov'!G13,0))=0,"",IFERROR('📅 Mar'!G13,0)+IFERROR('📅 Apr'!G13,0)+IFERROR('📅 May'!G13,0)+IFERROR('📅 Jun'!G13,0)+IFERROR('📅 Jul'!G13,0)+IFERROR('📅 Aug'!G13,0)+IFERROR('📅 Sep'!G13,0)+IFERROR('📅 Oct'!G13,0)+IFERROR('📅 Nov'!G13,0))</f>
        <v>20596.189999999999</v>
      </c>
      <c r="C107" s="87">
        <f>IF((IFERROR('📅 Mar'!G13,0))&gt;0,IFERROR('📅 Mar'!G13,0),IFERROR('📅 Mar'!H13,0))+IF((IFERROR('📅 Apr'!G13,0))&gt;0,IFERROR('📅 Apr'!G13,0),IFERROR('📅 Apr'!H13,0))+IF((IFERROR('📅 May'!G13,0))&gt;0,IFERROR('📅 May'!G13,0),IFERROR('📅 May'!H13,0))+IF((IFERROR('📅 Jun'!G13,0))&gt;0,IFERROR('📅 Jun'!G13,0),IFERROR('📅 Jun'!H13,0))+IF((IFERROR('📅 Jul'!G13,0))&gt;0,IFERROR('📅 Jul'!G13,0),IFERROR('📅 Jul'!H13,0))+IF((IFERROR('📅 Aug'!G13,0))&gt;0,IFERROR('📅 Aug'!G13,0),IFERROR('📅 Aug'!H13,0))+IF((IFERROR('📅 Sep'!G13,0))&gt;0,IFERROR('📅 Sep'!G13,0),IFERROR('📅 Sep'!H13,0))+IF((IFERROR('📅 Oct'!G13,0))&gt;0,IFERROR('📅 Oct'!G13,0),IFERROR('📅 Oct'!H13,0))+IF((IFERROR('📅 Nov'!G13,0))&gt;0,IFERROR('📅 Nov'!G13,0),IFERROR('📅 Nov'!H13,0))</f>
        <v>200812.81</v>
      </c>
      <c r="D107" s="87">
        <f>'⚙️ Setup'!E21</f>
        <v>268485.99</v>
      </c>
      <c r="E107" s="87">
        <f>'⚙️ Setup'!F21</f>
        <v>268485.99</v>
      </c>
      <c r="F107" s="88">
        <f>'⚙️ Setup'!F21*0.75</f>
        <v>201364.49249999999</v>
      </c>
      <c r="G107" s="89">
        <f>'⚙️ Setup'!F21</f>
        <v>268485.99</v>
      </c>
      <c r="H107" s="90">
        <f>'⚙️ Setup'!F21</f>
        <v>268485.99</v>
      </c>
    </row>
    <row r="108" spans="1:8" ht="18" customHeight="1" x14ac:dyDescent="0.35">
      <c r="A108" s="91" t="s">
        <v>241</v>
      </c>
      <c r="B108" s="92">
        <f>IF((IFERROR('📅 Mar'!G13,0)+IFERROR('📅 Apr'!G13,0)+IFERROR('📅 May'!G13,0)+IFERROR('📅 Jun'!G13,0)+IFERROR('📅 Jul'!G13,0)+IFERROR('📅 Aug'!G13,0)+IFERROR('📅 Sep'!G13,0)+IFERROR('📅 Oct'!G13,0)+IFERROR('📅 Nov'!G13,0)+IFERROR('📅 Dec'!G13,0))=0,"",IFERROR('📅 Mar'!G13,0)+IFERROR('📅 Apr'!G13,0)+IFERROR('📅 May'!G13,0)+IFERROR('📅 Jun'!G13,0)+IFERROR('📅 Jul'!G13,0)+IFERROR('📅 Aug'!G13,0)+IFERROR('📅 Sep'!G13,0)+IFERROR('📅 Oct'!G13,0)+IFERROR('📅 Nov'!G13,0)+IFERROR('📅 Dec'!G13,0))</f>
        <v>20596.189999999999</v>
      </c>
      <c r="C108" s="92">
        <f>IF((IFERROR('📅 Mar'!G13,0))&gt;0,IFERROR('📅 Mar'!G13,0),IFERROR('📅 Mar'!H13,0))+IF((IFERROR('📅 Apr'!G13,0))&gt;0,IFERROR('📅 Apr'!G13,0),IFERROR('📅 Apr'!H13,0))+IF((IFERROR('📅 May'!G13,0))&gt;0,IFERROR('📅 May'!G13,0),IFERROR('📅 May'!H13,0))+IF((IFERROR('📅 Jun'!G13,0))&gt;0,IFERROR('📅 Jun'!G13,0),IFERROR('📅 Jun'!H13,0))+IF((IFERROR('📅 Jul'!G13,0))&gt;0,IFERROR('📅 Jul'!G13,0),IFERROR('📅 Jul'!H13,0))+IF((IFERROR('📅 Aug'!G13,0))&gt;0,IFERROR('📅 Aug'!G13,0),IFERROR('📅 Aug'!H13,0))+IF((IFERROR('📅 Sep'!G13,0))&gt;0,IFERROR('📅 Sep'!G13,0),IFERROR('📅 Sep'!H13,0))+IF((IFERROR('📅 Oct'!G13,0))&gt;0,IFERROR('📅 Oct'!G13,0),IFERROR('📅 Oct'!H13,0))+IF((IFERROR('📅 Nov'!G13,0))&gt;0,IFERROR('📅 Nov'!G13,0),IFERROR('📅 Nov'!H13,0))+IF((IFERROR('📅 Dec'!G13,0))&gt;0,IFERROR('📅 Dec'!G13,0),IFERROR('📅 Dec'!H13,0))</f>
        <v>222880.15</v>
      </c>
      <c r="D108" s="92">
        <f>'⚙️ Setup'!E21</f>
        <v>268485.99</v>
      </c>
      <c r="E108" s="92">
        <f>'⚙️ Setup'!F21</f>
        <v>268485.99</v>
      </c>
      <c r="F108" s="88">
        <f>'⚙️ Setup'!F21*0.75</f>
        <v>201364.49249999999</v>
      </c>
      <c r="G108" s="89">
        <f>'⚙️ Setup'!F21</f>
        <v>268485.99</v>
      </c>
      <c r="H108" s="90">
        <f>'⚙️ Setup'!F21</f>
        <v>268485.99</v>
      </c>
    </row>
    <row r="109" spans="1:8" ht="18" customHeight="1" x14ac:dyDescent="0.35">
      <c r="A109" s="86" t="s">
        <v>242</v>
      </c>
      <c r="B109" s="87">
        <f>IF((IFERROR('📅 Mar'!G13,0)+IFERROR('📅 Apr'!G13,0)+IFERROR('📅 May'!G13,0)+IFERROR('📅 Jun'!G13,0)+IFERROR('📅 Jul'!G13,0)+IFERROR('📅 Aug'!G13,0)+IFERROR('📅 Sep'!G13,0)+IFERROR('📅 Oct'!G13,0)+IFERROR('📅 Nov'!G13,0)+IFERROR('📅 Dec'!G13,0)+IFERROR('📅 Jan'!G13,0))=0,"",IFERROR('📅 Mar'!G13,0)+IFERROR('📅 Apr'!G13,0)+IFERROR('📅 May'!G13,0)+IFERROR('📅 Jun'!G13,0)+IFERROR('📅 Jul'!G13,0)+IFERROR('📅 Aug'!G13,0)+IFERROR('📅 Sep'!G13,0)+IFERROR('📅 Oct'!G13,0)+IFERROR('📅 Nov'!G13,0)+IFERROR('📅 Dec'!G13,0)+IFERROR('📅 Jan'!G13,0))</f>
        <v>20596.189999999999</v>
      </c>
      <c r="C109" s="87">
        <f>IF((IFERROR('📅 Mar'!G13,0))&gt;0,IFERROR('📅 Mar'!G13,0),IFERROR('📅 Mar'!H13,0))+IF((IFERROR('📅 Apr'!G13,0))&gt;0,IFERROR('📅 Apr'!G13,0),IFERROR('📅 Apr'!H13,0))+IF((IFERROR('📅 May'!G13,0))&gt;0,IFERROR('📅 May'!G13,0),IFERROR('📅 May'!H13,0))+IF((IFERROR('📅 Jun'!G13,0))&gt;0,IFERROR('📅 Jun'!G13,0),IFERROR('📅 Jun'!H13,0))+IF((IFERROR('📅 Jul'!G13,0))&gt;0,IFERROR('📅 Jul'!G13,0),IFERROR('📅 Jul'!H13,0))+IF((IFERROR('📅 Aug'!G13,0))&gt;0,IFERROR('📅 Aug'!G13,0),IFERROR('📅 Aug'!H13,0))+IF((IFERROR('📅 Sep'!G13,0))&gt;0,IFERROR('📅 Sep'!G13,0),IFERROR('📅 Sep'!H13,0))+IF((IFERROR('📅 Oct'!G13,0))&gt;0,IFERROR('📅 Oct'!G13,0),IFERROR('📅 Oct'!H13,0))+IF((IFERROR('📅 Nov'!G13,0))&gt;0,IFERROR('📅 Nov'!G13,0),IFERROR('📅 Nov'!H13,0))+IF((IFERROR('📅 Dec'!G13,0))&gt;0,IFERROR('📅 Dec'!G13,0),IFERROR('📅 Dec'!H13,0))+IF((IFERROR('📅 Jan'!G13,0))&gt;0,IFERROR('📅 Jan'!G13,0),IFERROR('📅 Jan'!H13,0))</f>
        <v>245683.07</v>
      </c>
      <c r="D109" s="87">
        <f>'⚙️ Setup'!E21</f>
        <v>268485.99</v>
      </c>
      <c r="E109" s="87">
        <f>'⚙️ Setup'!F21</f>
        <v>268485.99</v>
      </c>
      <c r="F109" s="88">
        <f>'⚙️ Setup'!F21*0.75</f>
        <v>201364.49249999999</v>
      </c>
      <c r="G109" s="89">
        <f>'⚙️ Setup'!F21</f>
        <v>268485.99</v>
      </c>
      <c r="H109" s="90">
        <f>'⚙️ Setup'!F21</f>
        <v>268485.99</v>
      </c>
    </row>
    <row r="110" spans="1:8" ht="18" customHeight="1" x14ac:dyDescent="0.35">
      <c r="A110" s="91" t="s">
        <v>243</v>
      </c>
      <c r="B110" s="92">
        <f>IF((IFERROR('📅 Mar'!G13,0)+IFERROR('📅 Apr'!G13,0)+IFERROR('📅 May'!G13,0)+IFERROR('📅 Jun'!G13,0)+IFERROR('📅 Jul'!G13,0)+IFERROR('📅 Aug'!G13,0)+IFERROR('📅 Sep'!G13,0)+IFERROR('📅 Oct'!G13,0)+IFERROR('📅 Nov'!G13,0)+IFERROR('📅 Dec'!G13,0)+IFERROR('📅 Jan'!G13,0)+IFERROR('📅 Feb-E'!G13,0))=0,"",IFERROR('📅 Mar'!G13,0)+IFERROR('📅 Apr'!G13,0)+IFERROR('📅 May'!G13,0)+IFERROR('📅 Jun'!G13,0)+IFERROR('📅 Jul'!G13,0)+IFERROR('📅 Aug'!G13,0)+IFERROR('📅 Sep'!G13,0)+IFERROR('📅 Oct'!G13,0)+IFERROR('📅 Nov'!G13,0)+IFERROR('📅 Dec'!G13,0)+IFERROR('📅 Jan'!G13,0)+IFERROR('📅 Feb-E'!G13,0))</f>
        <v>20596.189999999999</v>
      </c>
      <c r="C110" s="92">
        <f>IF((IFERROR('📅 Mar'!G13,0))&gt;0,IFERROR('📅 Mar'!G13,0),IFERROR('📅 Mar'!H13,0))+IF((IFERROR('📅 Apr'!G13,0))&gt;0,IFERROR('📅 Apr'!G13,0),IFERROR('📅 Apr'!H13,0))+IF((IFERROR('📅 May'!G13,0))&gt;0,IFERROR('📅 May'!G13,0),IFERROR('📅 May'!H13,0))+IF((IFERROR('📅 Jun'!G13,0))&gt;0,IFERROR('📅 Jun'!G13,0),IFERROR('📅 Jun'!H13,0))+IF((IFERROR('📅 Jul'!G13,0))&gt;0,IFERROR('📅 Jul'!G13,0),IFERROR('📅 Jul'!H13,0))+IF((IFERROR('📅 Aug'!G13,0))&gt;0,IFERROR('📅 Aug'!G13,0),IFERROR('📅 Aug'!H13,0))+IF((IFERROR('📅 Sep'!G13,0))&gt;0,IFERROR('📅 Sep'!G13,0),IFERROR('📅 Sep'!H13,0))+IF((IFERROR('📅 Oct'!G13,0))&gt;0,IFERROR('📅 Oct'!G13,0),IFERROR('📅 Oct'!H13,0))+IF((IFERROR('📅 Nov'!G13,0))&gt;0,IFERROR('📅 Nov'!G13,0),IFERROR('📅 Nov'!H13,0))+IF((IFERROR('📅 Dec'!G13,0))&gt;0,IFERROR('📅 Dec'!G13,0),IFERROR('📅 Dec'!H13,0))+IF((IFERROR('📅 Jan'!G13,0))&gt;0,IFERROR('📅 Jan'!G13,0),IFERROR('📅 Jan'!H13,0))+IF((IFERROR('📅 Feb-E'!G13,0))&gt;0,IFERROR('📅 Feb-E'!G13,0),IFERROR('📅 Feb-E'!H13,0))</f>
        <v>268485.99</v>
      </c>
      <c r="D110" s="92">
        <f>'⚙️ Setup'!E21</f>
        <v>268485.99</v>
      </c>
      <c r="E110" s="92">
        <f>'⚙️ Setup'!F21</f>
        <v>268485.99</v>
      </c>
      <c r="F110" s="88">
        <f>'⚙️ Setup'!F21*0.75</f>
        <v>201364.49249999999</v>
      </c>
      <c r="G110" s="89">
        <f>'⚙️ Setup'!F21</f>
        <v>268485.99</v>
      </c>
      <c r="H110" s="90">
        <f>'⚙️ Setup'!F21</f>
        <v>268485.99</v>
      </c>
    </row>
    <row r="111" spans="1:8" ht="19.5" hidden="1" customHeight="1" x14ac:dyDescent="0.35">
      <c r="A111" s="107" t="s">
        <v>244</v>
      </c>
      <c r="B111" s="108"/>
      <c r="C111" s="116" t="str" cm="1">
        <f t="array" ref="C111">IFERROR(INDEX(A99:A110,_xlfn.AGGREGATE(15,6,(ROW(A99:A110)-ROW(A99)+1)/(C99:C110&gt;='⚙️ Setup'!F21*0.75),1)),"Not yet projected")</f>
        <v>Dec</v>
      </c>
      <c r="D111" s="110"/>
      <c r="E111" s="108"/>
    </row>
    <row r="112" spans="1:8" ht="19.5" hidden="1" customHeight="1" x14ac:dyDescent="0.35">
      <c r="A112" s="111" t="s">
        <v>245</v>
      </c>
      <c r="B112" s="108"/>
      <c r="C112" s="109" t="str" cm="1">
        <f t="array" ref="C112">IFERROR(INDEX(A99:A110,_xlfn.AGGREGATE(15,6,(ROW(A99:A110)-ROW(A99)+1)/(C99:C110&gt;='⚙️ Setup'!F21),1)),"Not yet projected")</f>
        <v>Feb-E</v>
      </c>
      <c r="D112" s="110"/>
      <c r="E112" s="110"/>
    </row>
    <row r="113" spans="1:8" ht="19.5" customHeight="1" x14ac:dyDescent="0.35">
      <c r="A113" s="114" t="s">
        <v>78</v>
      </c>
      <c r="B113" s="115"/>
      <c r="C113" s="115"/>
      <c r="D113" s="115"/>
      <c r="E113" s="115"/>
      <c r="F113" s="115"/>
      <c r="G113" s="115"/>
    </row>
    <row r="114" spans="1:8" ht="24" customHeight="1" x14ac:dyDescent="0.35">
      <c r="A114" s="41" t="s">
        <v>203</v>
      </c>
      <c r="B114" s="93" t="s">
        <v>228</v>
      </c>
      <c r="C114" s="93" t="s">
        <v>229</v>
      </c>
      <c r="D114" s="93" t="s">
        <v>220</v>
      </c>
      <c r="E114" s="93" t="s">
        <v>221</v>
      </c>
      <c r="F114" s="93" t="s">
        <v>230</v>
      </c>
      <c r="G114" s="41" t="s">
        <v>231</v>
      </c>
      <c r="H114" s="81" t="s">
        <v>232</v>
      </c>
    </row>
    <row r="115" spans="1:8" ht="18" customHeight="1" x14ac:dyDescent="0.35">
      <c r="A115" s="86" t="s">
        <v>233</v>
      </c>
      <c r="B115" s="87">
        <f>IF((IFERROR('📅 Mar'!G14,0))=0,"",IFERROR('📅 Mar'!G14,0))</f>
        <v>13845.75</v>
      </c>
      <c r="C115" s="87">
        <f>IF((IFERROR('📅 Mar'!G14,0))&gt;0,IFERROR('📅 Mar'!G14,0),IFERROR('📅 Mar'!H14,0))</f>
        <v>13845.75</v>
      </c>
      <c r="D115" s="87">
        <f>'⚙️ Setup'!E22</f>
        <v>132000</v>
      </c>
      <c r="E115" s="87">
        <f>'⚙️ Setup'!F22</f>
        <v>60486.239999999998</v>
      </c>
      <c r="F115" s="88">
        <f>'⚙️ Setup'!F22*0.75</f>
        <v>45364.68</v>
      </c>
      <c r="G115" s="89">
        <f>'⚙️ Setup'!F22</f>
        <v>60486.239999999998</v>
      </c>
      <c r="H115" s="90">
        <f>'⚙️ Setup'!F22</f>
        <v>60486.239999999998</v>
      </c>
    </row>
    <row r="116" spans="1:8" ht="18" customHeight="1" x14ac:dyDescent="0.35">
      <c r="A116" s="91" t="s">
        <v>234</v>
      </c>
      <c r="B116" s="92">
        <f>IF((IFERROR('📅 Mar'!G14,0)+IFERROR('📅 Apr'!G14,0))=0,"",IFERROR('📅 Mar'!G14,0)+IFERROR('📅 Apr'!G14,0))</f>
        <v>13845.75</v>
      </c>
      <c r="C116" s="92">
        <f>IF((IFERROR('📅 Mar'!G14,0))&gt;0,IFERROR('📅 Mar'!G14,0),IFERROR('📅 Mar'!H14,0))+IF((IFERROR('📅 Apr'!G14,0))&gt;0,IFERROR('📅 Apr'!G14,0),IFERROR('📅 Apr'!H14,0))</f>
        <v>110845.75</v>
      </c>
      <c r="D116" s="92">
        <f>'⚙️ Setup'!E22</f>
        <v>132000</v>
      </c>
      <c r="E116" s="92">
        <f>'⚙️ Setup'!F22</f>
        <v>60486.239999999998</v>
      </c>
      <c r="F116" s="88">
        <f>'⚙️ Setup'!F22*0.75</f>
        <v>45364.68</v>
      </c>
      <c r="G116" s="89">
        <f>'⚙️ Setup'!F22</f>
        <v>60486.239999999998</v>
      </c>
      <c r="H116" s="90">
        <f>'⚙️ Setup'!F22</f>
        <v>60486.239999999998</v>
      </c>
    </row>
    <row r="117" spans="1:8" ht="18" customHeight="1" x14ac:dyDescent="0.35">
      <c r="A117" s="86" t="s">
        <v>139</v>
      </c>
      <c r="B117" s="87">
        <f>IF((IFERROR('📅 Mar'!G14,0)+IFERROR('📅 Apr'!G14,0)+IFERROR('📅 May'!G14,0))=0,"",IFERROR('📅 Mar'!G14,0)+IFERROR('📅 Apr'!G14,0)+IFERROR('📅 May'!G14,0))</f>
        <v>13845.75</v>
      </c>
      <c r="C117" s="87">
        <f>IF((IFERROR('📅 Mar'!G14,0))&gt;0,IFERROR('📅 Mar'!G14,0),IFERROR('📅 Mar'!H14,0))+IF((IFERROR('📅 Apr'!G14,0))&gt;0,IFERROR('📅 Apr'!G14,0),IFERROR('📅 Apr'!H14,0))+IF((IFERROR('📅 May'!G14,0))&gt;0,IFERROR('📅 May'!G14,0),IFERROR('📅 May'!H14,0))</f>
        <v>117845.75</v>
      </c>
      <c r="D117" s="87">
        <f>'⚙️ Setup'!E22</f>
        <v>132000</v>
      </c>
      <c r="E117" s="87">
        <f>'⚙️ Setup'!F22</f>
        <v>60486.239999999998</v>
      </c>
      <c r="F117" s="88">
        <f>'⚙️ Setup'!F22*0.75</f>
        <v>45364.68</v>
      </c>
      <c r="G117" s="89">
        <f>'⚙️ Setup'!F22</f>
        <v>60486.239999999998</v>
      </c>
      <c r="H117" s="90">
        <f>'⚙️ Setup'!F22</f>
        <v>60486.239999999998</v>
      </c>
    </row>
    <row r="118" spans="1:8" ht="18" customHeight="1" x14ac:dyDescent="0.35">
      <c r="A118" s="91" t="s">
        <v>235</v>
      </c>
      <c r="B118" s="92">
        <f>IF((IFERROR('📅 Mar'!G14,0)+IFERROR('📅 Apr'!G14,0)+IFERROR('📅 May'!G14,0)+IFERROR('📅 Jun'!G14,0))=0,"",IFERROR('📅 Mar'!G14,0)+IFERROR('📅 Apr'!G14,0)+IFERROR('📅 May'!G14,0)+IFERROR('📅 Jun'!G14,0))</f>
        <v>13845.75</v>
      </c>
      <c r="C118" s="92">
        <f>IF((IFERROR('📅 Mar'!G14,0))&gt;0,IFERROR('📅 Mar'!G14,0),IFERROR('📅 Mar'!H14,0))+IF((IFERROR('📅 Apr'!G14,0))&gt;0,IFERROR('📅 Apr'!G14,0),IFERROR('📅 Apr'!H14,0))+IF((IFERROR('📅 May'!G14,0))&gt;0,IFERROR('📅 May'!G14,0),IFERROR('📅 May'!H14,0))+IF((IFERROR('📅 Jun'!G14,0))&gt;0,IFERROR('📅 Jun'!G14,0),IFERROR('📅 Jun'!H14,0))</f>
        <v>124845.75</v>
      </c>
      <c r="D118" s="92">
        <f>'⚙️ Setup'!E22</f>
        <v>132000</v>
      </c>
      <c r="E118" s="92">
        <f>'⚙️ Setup'!F22</f>
        <v>60486.239999999998</v>
      </c>
      <c r="F118" s="88">
        <f>'⚙️ Setup'!F22*0.75</f>
        <v>45364.68</v>
      </c>
      <c r="G118" s="89">
        <f>'⚙️ Setup'!F22</f>
        <v>60486.239999999998</v>
      </c>
      <c r="H118" s="90">
        <f>'⚙️ Setup'!F22</f>
        <v>60486.239999999998</v>
      </c>
    </row>
    <row r="119" spans="1:8" ht="18" customHeight="1" x14ac:dyDescent="0.35">
      <c r="A119" s="86" t="s">
        <v>236</v>
      </c>
      <c r="B119" s="87">
        <f>IF((IFERROR('📅 Mar'!G14,0)+IFERROR('📅 Apr'!G14,0)+IFERROR('📅 May'!G14,0)+IFERROR('📅 Jun'!G14,0)+IFERROR('📅 Jul'!G14,0))=0,"",IFERROR('📅 Mar'!G14,0)+IFERROR('📅 Apr'!G14,0)+IFERROR('📅 May'!G14,0)+IFERROR('📅 Jun'!G14,0)+IFERROR('📅 Jul'!G14,0))</f>
        <v>13845.75</v>
      </c>
      <c r="C119" s="87">
        <f>IF((IFERROR('📅 Mar'!G14,0))&gt;0,IFERROR('📅 Mar'!G14,0),IFERROR('📅 Mar'!H14,0))+IF((IFERROR('📅 Apr'!G14,0))&gt;0,IFERROR('📅 Apr'!G14,0),IFERROR('📅 Apr'!H14,0))+IF((IFERROR('📅 May'!G14,0))&gt;0,IFERROR('📅 May'!G14,0),IFERROR('📅 May'!H14,0))+IF((IFERROR('📅 Jun'!G14,0))&gt;0,IFERROR('📅 Jun'!G14,0),IFERROR('📅 Jun'!H14,0))+IF((IFERROR('📅 Jul'!G14,0))&gt;0,IFERROR('📅 Jul'!G14,0),IFERROR('📅 Jul'!H14,0))</f>
        <v>131845.75</v>
      </c>
      <c r="D119" s="87">
        <f>'⚙️ Setup'!E22</f>
        <v>132000</v>
      </c>
      <c r="E119" s="87">
        <f>'⚙️ Setup'!F22</f>
        <v>60486.239999999998</v>
      </c>
      <c r="F119" s="88">
        <f>'⚙️ Setup'!F22*0.75</f>
        <v>45364.68</v>
      </c>
      <c r="G119" s="89">
        <f>'⚙️ Setup'!F22</f>
        <v>60486.239999999998</v>
      </c>
      <c r="H119" s="90">
        <f>'⚙️ Setup'!F22</f>
        <v>60486.239999999998</v>
      </c>
    </row>
    <row r="120" spans="1:8" ht="18" customHeight="1" x14ac:dyDescent="0.35">
      <c r="A120" s="91" t="s">
        <v>237</v>
      </c>
      <c r="B120" s="92">
        <f>IF((IFERROR('📅 Mar'!G14,0)+IFERROR('📅 Apr'!G14,0)+IFERROR('📅 May'!G14,0)+IFERROR('📅 Jun'!G14,0)+IFERROR('📅 Jul'!G14,0)+IFERROR('📅 Aug'!G14,0))=0,"",IFERROR('📅 Mar'!G14,0)+IFERROR('📅 Apr'!G14,0)+IFERROR('📅 May'!G14,0)+IFERROR('📅 Jun'!G14,0)+IFERROR('📅 Jul'!G14,0)+IFERROR('📅 Aug'!G14,0))</f>
        <v>13845.75</v>
      </c>
      <c r="C120" s="92">
        <f>IF((IFERROR('📅 Mar'!G14,0))&gt;0,IFERROR('📅 Mar'!G14,0),IFERROR('📅 Mar'!H14,0))+IF((IFERROR('📅 Apr'!G14,0))&gt;0,IFERROR('📅 Apr'!G14,0),IFERROR('📅 Apr'!H14,0))+IF((IFERROR('📅 May'!G14,0))&gt;0,IFERROR('📅 May'!G14,0),IFERROR('📅 May'!H14,0))+IF((IFERROR('📅 Jun'!G14,0))&gt;0,IFERROR('📅 Jun'!G14,0),IFERROR('📅 Jun'!H14,0))+IF((IFERROR('📅 Jul'!G14,0))&gt;0,IFERROR('📅 Jul'!G14,0),IFERROR('📅 Jul'!H14,0))+IF((IFERROR('📅 Aug'!G14,0))&gt;0,IFERROR('📅 Aug'!G14,0),IFERROR('📅 Aug'!H14,0))</f>
        <v>138845.75</v>
      </c>
      <c r="D120" s="92">
        <f>'⚙️ Setup'!E22</f>
        <v>132000</v>
      </c>
      <c r="E120" s="92">
        <f>'⚙️ Setup'!F22</f>
        <v>60486.239999999998</v>
      </c>
      <c r="F120" s="88">
        <f>'⚙️ Setup'!F22*0.75</f>
        <v>45364.68</v>
      </c>
      <c r="G120" s="89">
        <f>'⚙️ Setup'!F22</f>
        <v>60486.239999999998</v>
      </c>
      <c r="H120" s="90">
        <f>'⚙️ Setup'!F22</f>
        <v>60486.239999999998</v>
      </c>
    </row>
    <row r="121" spans="1:8" ht="18" customHeight="1" x14ac:dyDescent="0.35">
      <c r="A121" s="86" t="s">
        <v>238</v>
      </c>
      <c r="B121" s="87">
        <f>IF((IFERROR('📅 Mar'!G14,0)+IFERROR('📅 Apr'!G14,0)+IFERROR('📅 May'!G14,0)+IFERROR('📅 Jun'!G14,0)+IFERROR('📅 Jul'!G14,0)+IFERROR('📅 Aug'!G14,0)+IFERROR('📅 Sep'!G14,0))=0,"",IFERROR('📅 Mar'!G14,0)+IFERROR('📅 Apr'!G14,0)+IFERROR('📅 May'!G14,0)+IFERROR('📅 Jun'!G14,0)+IFERROR('📅 Jul'!G14,0)+IFERROR('📅 Aug'!G14,0)+IFERROR('📅 Sep'!G14,0))</f>
        <v>13845.75</v>
      </c>
      <c r="C121" s="87">
        <f>IF((IFERROR('📅 Mar'!G14,0))&gt;0,IFERROR('📅 Mar'!G14,0),IFERROR('📅 Mar'!H14,0))+IF((IFERROR('📅 Apr'!G14,0))&gt;0,IFERROR('📅 Apr'!G14,0),IFERROR('📅 Apr'!H14,0))+IF((IFERROR('📅 May'!G14,0))&gt;0,IFERROR('📅 May'!G14,0),IFERROR('📅 May'!H14,0))+IF((IFERROR('📅 Jun'!G14,0))&gt;0,IFERROR('📅 Jun'!G14,0),IFERROR('📅 Jun'!H14,0))+IF((IFERROR('📅 Jul'!G14,0))&gt;0,IFERROR('📅 Jul'!G14,0),IFERROR('📅 Jul'!H14,0))+IF((IFERROR('📅 Aug'!G14,0))&gt;0,IFERROR('📅 Aug'!G14,0),IFERROR('📅 Aug'!H14,0))+IF((IFERROR('📅 Sep'!G14,0))&gt;0,IFERROR('📅 Sep'!G14,0),IFERROR('📅 Sep'!H14,0))</f>
        <v>145845.75</v>
      </c>
      <c r="D121" s="87">
        <f>'⚙️ Setup'!E22</f>
        <v>132000</v>
      </c>
      <c r="E121" s="87">
        <f>'⚙️ Setup'!F22</f>
        <v>60486.239999999998</v>
      </c>
      <c r="F121" s="88">
        <f>'⚙️ Setup'!F22*0.75</f>
        <v>45364.68</v>
      </c>
      <c r="G121" s="89">
        <f>'⚙️ Setup'!F22</f>
        <v>60486.239999999998</v>
      </c>
      <c r="H121" s="90">
        <f>'⚙️ Setup'!F22</f>
        <v>60486.239999999998</v>
      </c>
    </row>
    <row r="122" spans="1:8" ht="18" customHeight="1" x14ac:dyDescent="0.35">
      <c r="A122" s="91" t="s">
        <v>239</v>
      </c>
      <c r="B122" s="92">
        <f>IF((IFERROR('📅 Mar'!G14,0)+IFERROR('📅 Apr'!G14,0)+IFERROR('📅 May'!G14,0)+IFERROR('📅 Jun'!G14,0)+IFERROR('📅 Jul'!G14,0)+IFERROR('📅 Aug'!G14,0)+IFERROR('📅 Sep'!G14,0)+IFERROR('📅 Oct'!G14,0))=0,"",IFERROR('📅 Mar'!G14,0)+IFERROR('📅 Apr'!G14,0)+IFERROR('📅 May'!G14,0)+IFERROR('📅 Jun'!G14,0)+IFERROR('📅 Jul'!G14,0)+IFERROR('📅 Aug'!G14,0)+IFERROR('📅 Sep'!G14,0)+IFERROR('📅 Oct'!G14,0))</f>
        <v>13845.75</v>
      </c>
      <c r="C122" s="92">
        <f>IF((IFERROR('📅 Mar'!G14,0))&gt;0,IFERROR('📅 Mar'!G14,0),IFERROR('📅 Mar'!H14,0))+IF((IFERROR('📅 Apr'!G14,0))&gt;0,IFERROR('📅 Apr'!G14,0),IFERROR('📅 Apr'!H14,0))+IF((IFERROR('📅 May'!G14,0))&gt;0,IFERROR('📅 May'!G14,0),IFERROR('📅 May'!H14,0))+IF((IFERROR('📅 Jun'!G14,0))&gt;0,IFERROR('📅 Jun'!G14,0),IFERROR('📅 Jun'!H14,0))+IF((IFERROR('📅 Jul'!G14,0))&gt;0,IFERROR('📅 Jul'!G14,0),IFERROR('📅 Jul'!H14,0))+IF((IFERROR('📅 Aug'!G14,0))&gt;0,IFERROR('📅 Aug'!G14,0),IFERROR('📅 Aug'!H14,0))+IF((IFERROR('📅 Sep'!G14,0))&gt;0,IFERROR('📅 Sep'!G14,0),IFERROR('📅 Sep'!H14,0))+IF((IFERROR('📅 Oct'!G14,0))&gt;0,IFERROR('📅 Oct'!G14,0),IFERROR('📅 Oct'!H14,0))</f>
        <v>152845.75</v>
      </c>
      <c r="D122" s="92">
        <f>'⚙️ Setup'!E22</f>
        <v>132000</v>
      </c>
      <c r="E122" s="92">
        <f>'⚙️ Setup'!F22</f>
        <v>60486.239999999998</v>
      </c>
      <c r="F122" s="88">
        <f>'⚙️ Setup'!F22*0.75</f>
        <v>45364.68</v>
      </c>
      <c r="G122" s="89">
        <f>'⚙️ Setup'!F22</f>
        <v>60486.239999999998</v>
      </c>
      <c r="H122" s="90">
        <f>'⚙️ Setup'!F22</f>
        <v>60486.239999999998</v>
      </c>
    </row>
    <row r="123" spans="1:8" ht="18" customHeight="1" x14ac:dyDescent="0.35">
      <c r="A123" s="86" t="s">
        <v>240</v>
      </c>
      <c r="B123" s="87">
        <f>IF((IFERROR('📅 Mar'!G14,0)+IFERROR('📅 Apr'!G14,0)+IFERROR('📅 May'!G14,0)+IFERROR('📅 Jun'!G14,0)+IFERROR('📅 Jul'!G14,0)+IFERROR('📅 Aug'!G14,0)+IFERROR('📅 Sep'!G14,0)+IFERROR('📅 Oct'!G14,0)+IFERROR('📅 Nov'!G14,0))=0,"",IFERROR('📅 Mar'!G14,0)+IFERROR('📅 Apr'!G14,0)+IFERROR('📅 May'!G14,0)+IFERROR('📅 Jun'!G14,0)+IFERROR('📅 Jul'!G14,0)+IFERROR('📅 Aug'!G14,0)+IFERROR('📅 Sep'!G14,0)+IFERROR('📅 Oct'!G14,0)+IFERROR('📅 Nov'!G14,0))</f>
        <v>13845.75</v>
      </c>
      <c r="C123" s="87">
        <f>IF((IFERROR('📅 Mar'!G14,0))&gt;0,IFERROR('📅 Mar'!G14,0),IFERROR('📅 Mar'!H14,0))+IF((IFERROR('📅 Apr'!G14,0))&gt;0,IFERROR('📅 Apr'!G14,0),IFERROR('📅 Apr'!H14,0))+IF((IFERROR('📅 May'!G14,0))&gt;0,IFERROR('📅 May'!G14,0),IFERROR('📅 May'!H14,0))+IF((IFERROR('📅 Jun'!G14,0))&gt;0,IFERROR('📅 Jun'!G14,0),IFERROR('📅 Jun'!H14,0))+IF((IFERROR('📅 Jul'!G14,0))&gt;0,IFERROR('📅 Jul'!G14,0),IFERROR('📅 Jul'!H14,0))+IF((IFERROR('📅 Aug'!G14,0))&gt;0,IFERROR('📅 Aug'!G14,0),IFERROR('📅 Aug'!H14,0))+IF((IFERROR('📅 Sep'!G14,0))&gt;0,IFERROR('📅 Sep'!G14,0),IFERROR('📅 Sep'!H14,0))+IF((IFERROR('📅 Oct'!G14,0))&gt;0,IFERROR('📅 Oct'!G14,0),IFERROR('📅 Oct'!H14,0))+IF((IFERROR('📅 Nov'!G14,0))&gt;0,IFERROR('📅 Nov'!G14,0),IFERROR('📅 Nov'!H14,0))</f>
        <v>159845.75</v>
      </c>
      <c r="D123" s="87">
        <f>'⚙️ Setup'!E22</f>
        <v>132000</v>
      </c>
      <c r="E123" s="87">
        <f>'⚙️ Setup'!F22</f>
        <v>60486.239999999998</v>
      </c>
      <c r="F123" s="88">
        <f>'⚙️ Setup'!F22*0.75</f>
        <v>45364.68</v>
      </c>
      <c r="G123" s="89">
        <f>'⚙️ Setup'!F22</f>
        <v>60486.239999999998</v>
      </c>
      <c r="H123" s="90">
        <f>'⚙️ Setup'!F22</f>
        <v>60486.239999999998</v>
      </c>
    </row>
    <row r="124" spans="1:8" ht="18" customHeight="1" x14ac:dyDescent="0.35">
      <c r="A124" s="91" t="s">
        <v>241</v>
      </c>
      <c r="B124" s="92">
        <f>IF((IFERROR('📅 Mar'!G14,0)+IFERROR('📅 Apr'!G14,0)+IFERROR('📅 May'!G14,0)+IFERROR('📅 Jun'!G14,0)+IFERROR('📅 Jul'!G14,0)+IFERROR('📅 Aug'!G14,0)+IFERROR('📅 Sep'!G14,0)+IFERROR('📅 Oct'!G14,0)+IFERROR('📅 Nov'!G14,0)+IFERROR('📅 Dec'!G14,0))=0,"",IFERROR('📅 Mar'!G14,0)+IFERROR('📅 Apr'!G14,0)+IFERROR('📅 May'!G14,0)+IFERROR('📅 Jun'!G14,0)+IFERROR('📅 Jul'!G14,0)+IFERROR('📅 Aug'!G14,0)+IFERROR('📅 Sep'!G14,0)+IFERROR('📅 Oct'!G14,0)+IFERROR('📅 Nov'!G14,0)+IFERROR('📅 Dec'!G14,0))</f>
        <v>13845.75</v>
      </c>
      <c r="C124" s="92">
        <f>IF((IFERROR('📅 Mar'!G14,0))&gt;0,IFERROR('📅 Mar'!G14,0),IFERROR('📅 Mar'!H14,0))+IF((IFERROR('📅 Apr'!G14,0))&gt;0,IFERROR('📅 Apr'!G14,0),IFERROR('📅 Apr'!H14,0))+IF((IFERROR('📅 May'!G14,0))&gt;0,IFERROR('📅 May'!G14,0),IFERROR('📅 May'!H14,0))+IF((IFERROR('📅 Jun'!G14,0))&gt;0,IFERROR('📅 Jun'!G14,0),IFERROR('📅 Jun'!H14,0))+IF((IFERROR('📅 Jul'!G14,0))&gt;0,IFERROR('📅 Jul'!G14,0),IFERROR('📅 Jul'!H14,0))+IF((IFERROR('📅 Aug'!G14,0))&gt;0,IFERROR('📅 Aug'!G14,0),IFERROR('📅 Aug'!H14,0))+IF((IFERROR('📅 Sep'!G14,0))&gt;0,IFERROR('📅 Sep'!G14,0),IFERROR('📅 Sep'!H14,0))+IF((IFERROR('📅 Oct'!G14,0))&gt;0,IFERROR('📅 Oct'!G14,0),IFERROR('📅 Oct'!H14,0))+IF((IFERROR('📅 Nov'!G14,0))&gt;0,IFERROR('📅 Nov'!G14,0),IFERROR('📅 Nov'!H14,0))+IF((IFERROR('📅 Dec'!G14,0))&gt;0,IFERROR('📅 Dec'!G14,0),IFERROR('📅 Dec'!H14,0))</f>
        <v>166845.75</v>
      </c>
      <c r="D124" s="92">
        <f>'⚙️ Setup'!E22</f>
        <v>132000</v>
      </c>
      <c r="E124" s="92">
        <f>'⚙️ Setup'!F22</f>
        <v>60486.239999999998</v>
      </c>
      <c r="F124" s="88">
        <f>'⚙️ Setup'!F22*0.75</f>
        <v>45364.68</v>
      </c>
      <c r="G124" s="89">
        <f>'⚙️ Setup'!F22</f>
        <v>60486.239999999998</v>
      </c>
      <c r="H124" s="90">
        <f>'⚙️ Setup'!F22</f>
        <v>60486.239999999998</v>
      </c>
    </row>
    <row r="125" spans="1:8" ht="18" customHeight="1" x14ac:dyDescent="0.35">
      <c r="A125" s="86" t="s">
        <v>242</v>
      </c>
      <c r="B125" s="87">
        <f>IF((IFERROR('📅 Mar'!G14,0)+IFERROR('📅 Apr'!G14,0)+IFERROR('📅 May'!G14,0)+IFERROR('📅 Jun'!G14,0)+IFERROR('📅 Jul'!G14,0)+IFERROR('📅 Aug'!G14,0)+IFERROR('📅 Sep'!G14,0)+IFERROR('📅 Oct'!G14,0)+IFERROR('📅 Nov'!G14,0)+IFERROR('📅 Dec'!G14,0)+IFERROR('📅 Jan'!G14,0))=0,"",IFERROR('📅 Mar'!G14,0)+IFERROR('📅 Apr'!G14,0)+IFERROR('📅 May'!G14,0)+IFERROR('📅 Jun'!G14,0)+IFERROR('📅 Jul'!G14,0)+IFERROR('📅 Aug'!G14,0)+IFERROR('📅 Sep'!G14,0)+IFERROR('📅 Oct'!G14,0)+IFERROR('📅 Nov'!G14,0)+IFERROR('📅 Dec'!G14,0)+IFERROR('📅 Jan'!G14,0))</f>
        <v>13845.75</v>
      </c>
      <c r="C125" s="87">
        <f>IF((IFERROR('📅 Mar'!G14,0))&gt;0,IFERROR('📅 Mar'!G14,0),IFERROR('📅 Mar'!H14,0))+IF((IFERROR('📅 Apr'!G14,0))&gt;0,IFERROR('📅 Apr'!G14,0),IFERROR('📅 Apr'!H14,0))+IF((IFERROR('📅 May'!G14,0))&gt;0,IFERROR('📅 May'!G14,0),IFERROR('📅 May'!H14,0))+IF((IFERROR('📅 Jun'!G14,0))&gt;0,IFERROR('📅 Jun'!G14,0),IFERROR('📅 Jun'!H14,0))+IF((IFERROR('📅 Jul'!G14,0))&gt;0,IFERROR('📅 Jul'!G14,0),IFERROR('📅 Jul'!H14,0))+IF((IFERROR('📅 Aug'!G14,0))&gt;0,IFERROR('📅 Aug'!G14,0),IFERROR('📅 Aug'!H14,0))+IF((IFERROR('📅 Sep'!G14,0))&gt;0,IFERROR('📅 Sep'!G14,0),IFERROR('📅 Sep'!H14,0))+IF((IFERROR('📅 Oct'!G14,0))&gt;0,IFERROR('📅 Oct'!G14,0),IFERROR('📅 Oct'!H14,0))+IF((IFERROR('📅 Nov'!G14,0))&gt;0,IFERROR('📅 Nov'!G14,0),IFERROR('📅 Nov'!H14,0))+IF((IFERROR('📅 Dec'!G14,0))&gt;0,IFERROR('📅 Dec'!G14,0),IFERROR('📅 Dec'!H14,0))+IF((IFERROR('📅 Jan'!G14,0))&gt;0,IFERROR('📅 Jan'!G14,0),IFERROR('📅 Jan'!H14,0))</f>
        <v>173845.75</v>
      </c>
      <c r="D125" s="87">
        <f>'⚙️ Setup'!E22</f>
        <v>132000</v>
      </c>
      <c r="E125" s="87">
        <f>'⚙️ Setup'!F22</f>
        <v>60486.239999999998</v>
      </c>
      <c r="F125" s="88">
        <f>'⚙️ Setup'!F22*0.75</f>
        <v>45364.68</v>
      </c>
      <c r="G125" s="89">
        <f>'⚙️ Setup'!F22</f>
        <v>60486.239999999998</v>
      </c>
      <c r="H125" s="90">
        <f>'⚙️ Setup'!F22</f>
        <v>60486.239999999998</v>
      </c>
    </row>
    <row r="126" spans="1:8" ht="18" customHeight="1" x14ac:dyDescent="0.35">
      <c r="A126" s="91" t="s">
        <v>243</v>
      </c>
      <c r="B126" s="92">
        <f>IF((IFERROR('📅 Mar'!G14,0)+IFERROR('📅 Apr'!G14,0)+IFERROR('📅 May'!G14,0)+IFERROR('📅 Jun'!G14,0)+IFERROR('📅 Jul'!G14,0)+IFERROR('📅 Aug'!G14,0)+IFERROR('📅 Sep'!G14,0)+IFERROR('📅 Oct'!G14,0)+IFERROR('📅 Nov'!G14,0)+IFERROR('📅 Dec'!G14,0)+IFERROR('📅 Jan'!G14,0)+IFERROR('📅 Feb-E'!G14,0))=0,"",IFERROR('📅 Mar'!G14,0)+IFERROR('📅 Apr'!G14,0)+IFERROR('📅 May'!G14,0)+IFERROR('📅 Jun'!G14,0)+IFERROR('📅 Jul'!G14,0)+IFERROR('📅 Aug'!G14,0)+IFERROR('📅 Sep'!G14,0)+IFERROR('📅 Oct'!G14,0)+IFERROR('📅 Nov'!G14,0)+IFERROR('📅 Dec'!G14,0)+IFERROR('📅 Jan'!G14,0)+IFERROR('📅 Feb-E'!G14,0))</f>
        <v>13845.75</v>
      </c>
      <c r="C126" s="92">
        <f>IF((IFERROR('📅 Mar'!G14,0))&gt;0,IFERROR('📅 Mar'!G14,0),IFERROR('📅 Mar'!H14,0))+IF((IFERROR('📅 Apr'!G14,0))&gt;0,IFERROR('📅 Apr'!G14,0),IFERROR('📅 Apr'!H14,0))+IF((IFERROR('📅 May'!G14,0))&gt;0,IFERROR('📅 May'!G14,0),IFERROR('📅 May'!H14,0))+IF((IFERROR('📅 Jun'!G14,0))&gt;0,IFERROR('📅 Jun'!G14,0),IFERROR('📅 Jun'!H14,0))+IF((IFERROR('📅 Jul'!G14,0))&gt;0,IFERROR('📅 Jul'!G14,0),IFERROR('📅 Jul'!H14,0))+IF((IFERROR('📅 Aug'!G14,0))&gt;0,IFERROR('📅 Aug'!G14,0),IFERROR('📅 Aug'!H14,0))+IF((IFERROR('📅 Sep'!G14,0))&gt;0,IFERROR('📅 Sep'!G14,0),IFERROR('📅 Sep'!H14,0))+IF((IFERROR('📅 Oct'!G14,0))&gt;0,IFERROR('📅 Oct'!G14,0),IFERROR('📅 Oct'!H14,0))+IF((IFERROR('📅 Nov'!G14,0))&gt;0,IFERROR('📅 Nov'!G14,0),IFERROR('📅 Nov'!H14,0))+IF((IFERROR('📅 Dec'!G14,0))&gt;0,IFERROR('📅 Dec'!G14,0),IFERROR('📅 Dec'!H14,0))+IF((IFERROR('📅 Jan'!G14,0))&gt;0,IFERROR('📅 Jan'!G14,0),IFERROR('📅 Jan'!H14,0))+IF((IFERROR('📅 Feb-E'!G14,0))&gt;0,IFERROR('📅 Feb-E'!G14,0),IFERROR('📅 Feb-E'!H14,0))</f>
        <v>180845.75</v>
      </c>
      <c r="D126" s="92">
        <f>'⚙️ Setup'!E22</f>
        <v>132000</v>
      </c>
      <c r="E126" s="92">
        <f>'⚙️ Setup'!F22</f>
        <v>60486.239999999998</v>
      </c>
      <c r="F126" s="88">
        <f>'⚙️ Setup'!F22*0.75</f>
        <v>45364.68</v>
      </c>
      <c r="G126" s="89">
        <f>'⚙️ Setup'!F22</f>
        <v>60486.239999999998</v>
      </c>
      <c r="H126" s="90">
        <f>'⚙️ Setup'!F22</f>
        <v>60486.239999999998</v>
      </c>
    </row>
    <row r="127" spans="1:8" ht="19.5" customHeight="1" x14ac:dyDescent="0.35">
      <c r="A127" s="107" t="s">
        <v>244</v>
      </c>
      <c r="B127" s="108"/>
      <c r="C127" s="116" t="str" cm="1">
        <f t="array" ref="C127">IFERROR(INDEX(A115:A126,_xlfn.AGGREGATE(15,6,(ROW(A115:A126)-ROW(A115)+1)/(C115:C126&gt;='⚙️ Setup'!F22*0.75),1)),"Not yet projected")</f>
        <v>Apr</v>
      </c>
      <c r="D127" s="110"/>
      <c r="E127" s="108"/>
    </row>
    <row r="128" spans="1:8" ht="19.5" customHeight="1" x14ac:dyDescent="0.35">
      <c r="A128" s="111" t="s">
        <v>245</v>
      </c>
      <c r="B128" s="108"/>
      <c r="C128" s="109" t="str" cm="1">
        <f t="array" ref="C128">IFERROR(INDEX(A115:A126,_xlfn.AGGREGATE(15,6,(ROW(A115:A126)-ROW(A115)+1)/(C115:C126&gt;='⚙️ Setup'!F22),1)),"Not yet projected")</f>
        <v>Apr</v>
      </c>
      <c r="D128" s="110"/>
      <c r="E128" s="110"/>
    </row>
    <row r="129" spans="1:8" ht="19.5" customHeight="1" x14ac:dyDescent="0.35">
      <c r="A129" s="119" t="s">
        <v>79</v>
      </c>
      <c r="B129" s="110"/>
      <c r="C129" s="110"/>
      <c r="D129" s="110"/>
      <c r="E129" s="110"/>
    </row>
    <row r="130" spans="1:8" ht="24" customHeight="1" x14ac:dyDescent="0.35">
      <c r="A130" s="41" t="s">
        <v>203</v>
      </c>
      <c r="B130" s="93" t="s">
        <v>228</v>
      </c>
      <c r="C130" s="93" t="s">
        <v>229</v>
      </c>
      <c r="D130" s="93" t="s">
        <v>220</v>
      </c>
      <c r="E130" s="93" t="s">
        <v>221</v>
      </c>
      <c r="F130" s="93" t="s">
        <v>230</v>
      </c>
      <c r="G130" s="41" t="s">
        <v>231</v>
      </c>
      <c r="H130" s="81" t="s">
        <v>232</v>
      </c>
    </row>
    <row r="131" spans="1:8" ht="18" customHeight="1" x14ac:dyDescent="0.35">
      <c r="A131" s="86" t="s">
        <v>233</v>
      </c>
      <c r="B131" s="87" t="str">
        <f>IF((IFERROR('📅 Mar'!G15,0))=0,"",IFERROR('📅 Mar'!G15,0))</f>
        <v/>
      </c>
      <c r="C131" s="87">
        <f>IF((IFERROR('📅 Mar'!G15,0))&gt;0,IFERROR('📅 Mar'!G15,0),IFERROR('📅 Mar'!H15,0))</f>
        <v>0</v>
      </c>
      <c r="D131" s="87">
        <f>'⚙️ Setup'!E23</f>
        <v>10144</v>
      </c>
      <c r="E131" s="87">
        <f>'⚙️ Setup'!F23</f>
        <v>4999.99</v>
      </c>
      <c r="F131" s="88">
        <f>'⚙️ Setup'!F23*0.75</f>
        <v>3749.9924999999998</v>
      </c>
      <c r="G131" s="89">
        <f>'⚙️ Setup'!F23</f>
        <v>4999.99</v>
      </c>
      <c r="H131" s="90">
        <f>'⚙️ Setup'!F23</f>
        <v>4999.99</v>
      </c>
    </row>
    <row r="132" spans="1:8" ht="18" customHeight="1" x14ac:dyDescent="0.35">
      <c r="A132" s="91" t="s">
        <v>234</v>
      </c>
      <c r="B132" s="92" t="str">
        <f>IF((IFERROR('📅 Mar'!G15,0)+IFERROR('📅 Apr'!G15,0))=0,"",IFERROR('📅 Mar'!G15,0)+IFERROR('📅 Apr'!G15,0))</f>
        <v/>
      </c>
      <c r="C132" s="92">
        <f>IF((IFERROR('📅 Mar'!G15,0))&gt;0,IFERROR('📅 Mar'!G15,0),IFERROR('📅 Mar'!H15,0))+IF((IFERROR('📅 Apr'!G15,0))&gt;0,IFERROR('📅 Apr'!G15,0),IFERROR('📅 Apr'!H15,0))</f>
        <v>0</v>
      </c>
      <c r="D132" s="92">
        <f>'⚙️ Setup'!E23</f>
        <v>10144</v>
      </c>
      <c r="E132" s="92">
        <f>'⚙️ Setup'!F23</f>
        <v>4999.99</v>
      </c>
      <c r="F132" s="88">
        <f>'⚙️ Setup'!F23*0.75</f>
        <v>3749.9924999999998</v>
      </c>
      <c r="G132" s="89">
        <f>'⚙️ Setup'!F23</f>
        <v>4999.99</v>
      </c>
      <c r="H132" s="90">
        <f>'⚙️ Setup'!F23</f>
        <v>4999.99</v>
      </c>
    </row>
    <row r="133" spans="1:8" ht="18" customHeight="1" x14ac:dyDescent="0.35">
      <c r="A133" s="86" t="s">
        <v>139</v>
      </c>
      <c r="B133" s="87" t="str">
        <f>IF((IFERROR('📅 Mar'!G15,0)+IFERROR('📅 Apr'!G15,0)+IFERROR('📅 May'!G15,0))=0,"",IFERROR('📅 Mar'!G15,0)+IFERROR('📅 Apr'!G15,0)+IFERROR('📅 May'!G15,0))</f>
        <v/>
      </c>
      <c r="C133" s="87">
        <f>IF((IFERROR('📅 Mar'!G15,0))&gt;0,IFERROR('📅 Mar'!G15,0),IFERROR('📅 Mar'!H15,0))+IF((IFERROR('📅 Apr'!G15,0))&gt;0,IFERROR('📅 Apr'!G15,0),IFERROR('📅 Apr'!H15,0))+IF((IFERROR('📅 May'!G15,0))&gt;0,IFERROR('📅 May'!G15,0),IFERROR('📅 May'!H15,0))</f>
        <v>0</v>
      </c>
      <c r="D133" s="87">
        <f>'⚙️ Setup'!E23</f>
        <v>10144</v>
      </c>
      <c r="E133" s="87">
        <f>'⚙️ Setup'!F23</f>
        <v>4999.99</v>
      </c>
      <c r="F133" s="88">
        <f>'⚙️ Setup'!F23*0.75</f>
        <v>3749.9924999999998</v>
      </c>
      <c r="G133" s="89">
        <f>'⚙️ Setup'!F23</f>
        <v>4999.99</v>
      </c>
      <c r="H133" s="90">
        <f>'⚙️ Setup'!F23</f>
        <v>4999.99</v>
      </c>
    </row>
    <row r="134" spans="1:8" ht="18" customHeight="1" x14ac:dyDescent="0.35">
      <c r="A134" s="91" t="s">
        <v>235</v>
      </c>
      <c r="B134" s="92" t="str">
        <f>IF((IFERROR('📅 Mar'!G15,0)+IFERROR('📅 Apr'!G15,0)+IFERROR('📅 May'!G15,0)+IFERROR('📅 Jun'!G15,0))=0,"",IFERROR('📅 Mar'!G15,0)+IFERROR('📅 Apr'!G15,0)+IFERROR('📅 May'!G15,0)+IFERROR('📅 Jun'!G15,0))</f>
        <v/>
      </c>
      <c r="C134" s="92">
        <f>IF((IFERROR('📅 Mar'!G15,0))&gt;0,IFERROR('📅 Mar'!G15,0),IFERROR('📅 Mar'!H15,0))+IF((IFERROR('📅 Apr'!G15,0))&gt;0,IFERROR('📅 Apr'!G15,0),IFERROR('📅 Apr'!H15,0))+IF((IFERROR('📅 May'!G15,0))&gt;0,IFERROR('📅 May'!G15,0),IFERROR('📅 May'!H15,0))+IF((IFERROR('📅 Jun'!G15,0))&gt;0,IFERROR('📅 Jun'!G15,0),IFERROR('📅 Jun'!H15,0))</f>
        <v>0</v>
      </c>
      <c r="D134" s="92">
        <f>'⚙️ Setup'!E23</f>
        <v>10144</v>
      </c>
      <c r="E134" s="92">
        <f>'⚙️ Setup'!F23</f>
        <v>4999.99</v>
      </c>
      <c r="F134" s="88">
        <f>'⚙️ Setup'!F23*0.75</f>
        <v>3749.9924999999998</v>
      </c>
      <c r="G134" s="89">
        <f>'⚙️ Setup'!F23</f>
        <v>4999.99</v>
      </c>
      <c r="H134" s="90">
        <f>'⚙️ Setup'!F23</f>
        <v>4999.99</v>
      </c>
    </row>
    <row r="135" spans="1:8" ht="18" customHeight="1" x14ac:dyDescent="0.35">
      <c r="A135" s="86" t="s">
        <v>236</v>
      </c>
      <c r="B135" s="87" t="str">
        <f>IF((IFERROR('📅 Mar'!G15,0)+IFERROR('📅 Apr'!G15,0)+IFERROR('📅 May'!G15,0)+IFERROR('📅 Jun'!G15,0)+IFERROR('📅 Jul'!G15,0))=0,"",IFERROR('📅 Mar'!G15,0)+IFERROR('📅 Apr'!G15,0)+IFERROR('📅 May'!G15,0)+IFERROR('📅 Jun'!G15,0)+IFERROR('📅 Jul'!G15,0))</f>
        <v/>
      </c>
      <c r="C135" s="87">
        <f>IF((IFERROR('📅 Mar'!G15,0))&gt;0,IFERROR('📅 Mar'!G15,0),IFERROR('📅 Mar'!H15,0))+IF((IFERROR('📅 Apr'!G15,0))&gt;0,IFERROR('📅 Apr'!G15,0),IFERROR('📅 Apr'!H15,0))+IF((IFERROR('📅 May'!G15,0))&gt;0,IFERROR('📅 May'!G15,0),IFERROR('📅 May'!H15,0))+IF((IFERROR('📅 Jun'!G15,0))&gt;0,IFERROR('📅 Jun'!G15,0),IFERROR('📅 Jun'!H15,0))+IF((IFERROR('📅 Jul'!G15,0))&gt;0,IFERROR('📅 Jul'!G15,0),IFERROR('📅 Jul'!H15,0))</f>
        <v>0</v>
      </c>
      <c r="D135" s="87">
        <f>'⚙️ Setup'!E23</f>
        <v>10144</v>
      </c>
      <c r="E135" s="87">
        <f>'⚙️ Setup'!F23</f>
        <v>4999.99</v>
      </c>
      <c r="F135" s="88">
        <f>'⚙️ Setup'!F23*0.75</f>
        <v>3749.9924999999998</v>
      </c>
      <c r="G135" s="89">
        <f>'⚙️ Setup'!F23</f>
        <v>4999.99</v>
      </c>
      <c r="H135" s="90">
        <f>'⚙️ Setup'!F23</f>
        <v>4999.99</v>
      </c>
    </row>
    <row r="136" spans="1:8" ht="18" customHeight="1" x14ac:dyDescent="0.35">
      <c r="A136" s="91" t="s">
        <v>237</v>
      </c>
      <c r="B136" s="92" t="str">
        <f>IF((IFERROR('📅 Mar'!G15,0)+IFERROR('📅 Apr'!G15,0)+IFERROR('📅 May'!G15,0)+IFERROR('📅 Jun'!G15,0)+IFERROR('📅 Jul'!G15,0)+IFERROR('📅 Aug'!G15,0))=0,"",IFERROR('📅 Mar'!G15,0)+IFERROR('📅 Apr'!G15,0)+IFERROR('📅 May'!G15,0)+IFERROR('📅 Jun'!G15,0)+IFERROR('📅 Jul'!G15,0)+IFERROR('📅 Aug'!G15,0))</f>
        <v/>
      </c>
      <c r="C136" s="92">
        <f>IF((IFERROR('📅 Mar'!G15,0))&gt;0,IFERROR('📅 Mar'!G15,0),IFERROR('📅 Mar'!H15,0))+IF((IFERROR('📅 Apr'!G15,0))&gt;0,IFERROR('📅 Apr'!G15,0),IFERROR('📅 Apr'!H15,0))+IF((IFERROR('📅 May'!G15,0))&gt;0,IFERROR('📅 May'!G15,0),IFERROR('📅 May'!H15,0))+IF((IFERROR('📅 Jun'!G15,0))&gt;0,IFERROR('📅 Jun'!G15,0),IFERROR('📅 Jun'!H15,0))+IF((IFERROR('📅 Jul'!G15,0))&gt;0,IFERROR('📅 Jul'!G15,0),IFERROR('📅 Jul'!H15,0))+IF((IFERROR('📅 Aug'!G15,0))&gt;0,IFERROR('📅 Aug'!G15,0),IFERROR('📅 Aug'!H15,0))</f>
        <v>0</v>
      </c>
      <c r="D136" s="92">
        <f>'⚙️ Setup'!E23</f>
        <v>10144</v>
      </c>
      <c r="E136" s="92">
        <f>'⚙️ Setup'!F23</f>
        <v>4999.99</v>
      </c>
      <c r="F136" s="88">
        <f>'⚙️ Setup'!F23*0.75</f>
        <v>3749.9924999999998</v>
      </c>
      <c r="G136" s="89">
        <f>'⚙️ Setup'!F23</f>
        <v>4999.99</v>
      </c>
      <c r="H136" s="90">
        <f>'⚙️ Setup'!F23</f>
        <v>4999.99</v>
      </c>
    </row>
    <row r="137" spans="1:8" ht="18" customHeight="1" x14ac:dyDescent="0.35">
      <c r="A137" s="86" t="s">
        <v>238</v>
      </c>
      <c r="B137" s="87" t="str">
        <f>IF((IFERROR('📅 Mar'!G15,0)+IFERROR('📅 Apr'!G15,0)+IFERROR('📅 May'!G15,0)+IFERROR('📅 Jun'!G15,0)+IFERROR('📅 Jul'!G15,0)+IFERROR('📅 Aug'!G15,0)+IFERROR('📅 Sep'!G15,0))=0,"",IFERROR('📅 Mar'!G15,0)+IFERROR('📅 Apr'!G15,0)+IFERROR('📅 May'!G15,0)+IFERROR('📅 Jun'!G15,0)+IFERROR('📅 Jul'!G15,0)+IFERROR('📅 Aug'!G15,0)+IFERROR('📅 Sep'!G15,0))</f>
        <v/>
      </c>
      <c r="C137" s="87">
        <f>IF((IFERROR('📅 Mar'!G15,0))&gt;0,IFERROR('📅 Mar'!G15,0),IFERROR('📅 Mar'!H15,0))+IF((IFERROR('📅 Apr'!G15,0))&gt;0,IFERROR('📅 Apr'!G15,0),IFERROR('📅 Apr'!H15,0))+IF((IFERROR('📅 May'!G15,0))&gt;0,IFERROR('📅 May'!G15,0),IFERROR('📅 May'!H15,0))+IF((IFERROR('📅 Jun'!G15,0))&gt;0,IFERROR('📅 Jun'!G15,0),IFERROR('📅 Jun'!H15,0))+IF((IFERROR('📅 Jul'!G15,0))&gt;0,IFERROR('📅 Jul'!G15,0),IFERROR('📅 Jul'!H15,0))+IF((IFERROR('📅 Aug'!G15,0))&gt;0,IFERROR('📅 Aug'!G15,0),IFERROR('📅 Aug'!H15,0))+IF((IFERROR('📅 Sep'!G15,0))&gt;0,IFERROR('📅 Sep'!G15,0),IFERROR('📅 Sep'!H15,0))</f>
        <v>0</v>
      </c>
      <c r="D137" s="87">
        <f>'⚙️ Setup'!E23</f>
        <v>10144</v>
      </c>
      <c r="E137" s="87">
        <f>'⚙️ Setup'!F23</f>
        <v>4999.99</v>
      </c>
      <c r="F137" s="88">
        <f>'⚙️ Setup'!F23*0.75</f>
        <v>3749.9924999999998</v>
      </c>
      <c r="G137" s="89">
        <f>'⚙️ Setup'!F23</f>
        <v>4999.99</v>
      </c>
      <c r="H137" s="90">
        <f>'⚙️ Setup'!F23</f>
        <v>4999.99</v>
      </c>
    </row>
    <row r="138" spans="1:8" ht="18" customHeight="1" x14ac:dyDescent="0.35">
      <c r="A138" s="91" t="s">
        <v>239</v>
      </c>
      <c r="B138" s="92" t="str">
        <f>IF((IFERROR('📅 Mar'!G15,0)+IFERROR('📅 Apr'!G15,0)+IFERROR('📅 May'!G15,0)+IFERROR('📅 Jun'!G15,0)+IFERROR('📅 Jul'!G15,0)+IFERROR('📅 Aug'!G15,0)+IFERROR('📅 Sep'!G15,0)+IFERROR('📅 Oct'!G15,0))=0,"",IFERROR('📅 Mar'!G15,0)+IFERROR('📅 Apr'!G15,0)+IFERROR('📅 May'!G15,0)+IFERROR('📅 Jun'!G15,0)+IFERROR('📅 Jul'!G15,0)+IFERROR('📅 Aug'!G15,0)+IFERROR('📅 Sep'!G15,0)+IFERROR('📅 Oct'!G15,0))</f>
        <v/>
      </c>
      <c r="C138" s="92">
        <f>IF((IFERROR('📅 Mar'!G15,0))&gt;0,IFERROR('📅 Mar'!G15,0),IFERROR('📅 Mar'!H15,0))+IF((IFERROR('📅 Apr'!G15,0))&gt;0,IFERROR('📅 Apr'!G15,0),IFERROR('📅 Apr'!H15,0))+IF((IFERROR('📅 May'!G15,0))&gt;0,IFERROR('📅 May'!G15,0),IFERROR('📅 May'!H15,0))+IF((IFERROR('📅 Jun'!G15,0))&gt;0,IFERROR('📅 Jun'!G15,0),IFERROR('📅 Jun'!H15,0))+IF((IFERROR('📅 Jul'!G15,0))&gt;0,IFERROR('📅 Jul'!G15,0),IFERROR('📅 Jul'!H15,0))+IF((IFERROR('📅 Aug'!G15,0))&gt;0,IFERROR('📅 Aug'!G15,0),IFERROR('📅 Aug'!H15,0))+IF((IFERROR('📅 Sep'!G15,0))&gt;0,IFERROR('📅 Sep'!G15,0),IFERROR('📅 Sep'!H15,0))+IF((IFERROR('📅 Oct'!G15,0))&gt;0,IFERROR('📅 Oct'!G15,0),IFERROR('📅 Oct'!H15,0))</f>
        <v>0</v>
      </c>
      <c r="D138" s="92">
        <f>'⚙️ Setup'!E23</f>
        <v>10144</v>
      </c>
      <c r="E138" s="92">
        <f>'⚙️ Setup'!F23</f>
        <v>4999.99</v>
      </c>
      <c r="F138" s="88">
        <f>'⚙️ Setup'!F23*0.75</f>
        <v>3749.9924999999998</v>
      </c>
      <c r="G138" s="89">
        <f>'⚙️ Setup'!F23</f>
        <v>4999.99</v>
      </c>
      <c r="H138" s="90">
        <f>'⚙️ Setup'!F23</f>
        <v>4999.99</v>
      </c>
    </row>
    <row r="139" spans="1:8" ht="18" customHeight="1" x14ac:dyDescent="0.35">
      <c r="A139" s="86" t="s">
        <v>240</v>
      </c>
      <c r="B139" s="87" t="str">
        <f>IF((IFERROR('📅 Mar'!G15,0)+IFERROR('📅 Apr'!G15,0)+IFERROR('📅 May'!G15,0)+IFERROR('📅 Jun'!G15,0)+IFERROR('📅 Jul'!G15,0)+IFERROR('📅 Aug'!G15,0)+IFERROR('📅 Sep'!G15,0)+IFERROR('📅 Oct'!G15,0)+IFERROR('📅 Nov'!G15,0))=0,"",IFERROR('📅 Mar'!G15,0)+IFERROR('📅 Apr'!G15,0)+IFERROR('📅 May'!G15,0)+IFERROR('📅 Jun'!G15,0)+IFERROR('📅 Jul'!G15,0)+IFERROR('📅 Aug'!G15,0)+IFERROR('📅 Sep'!G15,0)+IFERROR('📅 Oct'!G15,0)+IFERROR('📅 Nov'!G15,0))</f>
        <v/>
      </c>
      <c r="C139" s="87">
        <f>IF((IFERROR('📅 Mar'!G15,0))&gt;0,IFERROR('📅 Mar'!G15,0),IFERROR('📅 Mar'!H15,0))+IF((IFERROR('📅 Apr'!G15,0))&gt;0,IFERROR('📅 Apr'!G15,0),IFERROR('📅 Apr'!H15,0))+IF((IFERROR('📅 May'!G15,0))&gt;0,IFERROR('📅 May'!G15,0),IFERROR('📅 May'!H15,0))+IF((IFERROR('📅 Jun'!G15,0))&gt;0,IFERROR('📅 Jun'!G15,0),IFERROR('📅 Jun'!H15,0))+IF((IFERROR('📅 Jul'!G15,0))&gt;0,IFERROR('📅 Jul'!G15,0),IFERROR('📅 Jul'!H15,0))+IF((IFERROR('📅 Aug'!G15,0))&gt;0,IFERROR('📅 Aug'!G15,0),IFERROR('📅 Aug'!H15,0))+IF((IFERROR('📅 Sep'!G15,0))&gt;0,IFERROR('📅 Sep'!G15,0),IFERROR('📅 Sep'!H15,0))+IF((IFERROR('📅 Oct'!G15,0))&gt;0,IFERROR('📅 Oct'!G15,0),IFERROR('📅 Oct'!H15,0))+IF((IFERROR('📅 Nov'!G15,0))&gt;0,IFERROR('📅 Nov'!G15,0),IFERROR('📅 Nov'!H15,0))</f>
        <v>0</v>
      </c>
      <c r="D139" s="87">
        <f>'⚙️ Setup'!E23</f>
        <v>10144</v>
      </c>
      <c r="E139" s="87">
        <f>'⚙️ Setup'!F23</f>
        <v>4999.99</v>
      </c>
      <c r="F139" s="88">
        <f>'⚙️ Setup'!F23*0.75</f>
        <v>3749.9924999999998</v>
      </c>
      <c r="G139" s="89">
        <f>'⚙️ Setup'!F23</f>
        <v>4999.99</v>
      </c>
      <c r="H139" s="90">
        <f>'⚙️ Setup'!F23</f>
        <v>4999.99</v>
      </c>
    </row>
    <row r="140" spans="1:8" ht="18" customHeight="1" x14ac:dyDescent="0.35">
      <c r="A140" s="91" t="s">
        <v>241</v>
      </c>
      <c r="B140" s="92" t="str">
        <f>IF((IFERROR('📅 Mar'!G15,0)+IFERROR('📅 Apr'!G15,0)+IFERROR('📅 May'!G15,0)+IFERROR('📅 Jun'!G15,0)+IFERROR('📅 Jul'!G15,0)+IFERROR('📅 Aug'!G15,0)+IFERROR('📅 Sep'!G15,0)+IFERROR('📅 Oct'!G15,0)+IFERROR('📅 Nov'!G15,0)+IFERROR('📅 Dec'!G15,0))=0,"",IFERROR('📅 Mar'!G15,0)+IFERROR('📅 Apr'!G15,0)+IFERROR('📅 May'!G15,0)+IFERROR('📅 Jun'!G15,0)+IFERROR('📅 Jul'!G15,0)+IFERROR('📅 Aug'!G15,0)+IFERROR('📅 Sep'!G15,0)+IFERROR('📅 Oct'!G15,0)+IFERROR('📅 Nov'!G15,0)+IFERROR('📅 Dec'!G15,0))</f>
        <v/>
      </c>
      <c r="C140" s="92">
        <f>IF((IFERROR('📅 Mar'!G15,0))&gt;0,IFERROR('📅 Mar'!G15,0),IFERROR('📅 Mar'!H15,0))+IF((IFERROR('📅 Apr'!G15,0))&gt;0,IFERROR('📅 Apr'!G15,0),IFERROR('📅 Apr'!H15,0))+IF((IFERROR('📅 May'!G15,0))&gt;0,IFERROR('📅 May'!G15,0),IFERROR('📅 May'!H15,0))+IF((IFERROR('📅 Jun'!G15,0))&gt;0,IFERROR('📅 Jun'!G15,0),IFERROR('📅 Jun'!H15,0))+IF((IFERROR('📅 Jul'!G15,0))&gt;0,IFERROR('📅 Jul'!G15,0),IFERROR('📅 Jul'!H15,0))+IF((IFERROR('📅 Aug'!G15,0))&gt;0,IFERROR('📅 Aug'!G15,0),IFERROR('📅 Aug'!H15,0))+IF((IFERROR('📅 Sep'!G15,0))&gt;0,IFERROR('📅 Sep'!G15,0),IFERROR('📅 Sep'!H15,0))+IF((IFERROR('📅 Oct'!G15,0))&gt;0,IFERROR('📅 Oct'!G15,0),IFERROR('📅 Oct'!H15,0))+IF((IFERROR('📅 Nov'!G15,0))&gt;0,IFERROR('📅 Nov'!G15,0),IFERROR('📅 Nov'!H15,0))+IF((IFERROR('📅 Dec'!G15,0))&gt;0,IFERROR('📅 Dec'!G15,0),IFERROR('📅 Dec'!H15,0))</f>
        <v>0</v>
      </c>
      <c r="D140" s="92">
        <f>'⚙️ Setup'!E23</f>
        <v>10144</v>
      </c>
      <c r="E140" s="92">
        <f>'⚙️ Setup'!F23</f>
        <v>4999.99</v>
      </c>
      <c r="F140" s="88">
        <f>'⚙️ Setup'!F23*0.75</f>
        <v>3749.9924999999998</v>
      </c>
      <c r="G140" s="89">
        <f>'⚙️ Setup'!F23</f>
        <v>4999.99</v>
      </c>
      <c r="H140" s="90">
        <f>'⚙️ Setup'!F23</f>
        <v>4999.99</v>
      </c>
    </row>
    <row r="141" spans="1:8" ht="18" customHeight="1" x14ac:dyDescent="0.35">
      <c r="A141" s="86" t="s">
        <v>242</v>
      </c>
      <c r="B141" s="87" t="str">
        <f>IF((IFERROR('📅 Mar'!G15,0)+IFERROR('📅 Apr'!G15,0)+IFERROR('📅 May'!G15,0)+IFERROR('📅 Jun'!G15,0)+IFERROR('📅 Jul'!G15,0)+IFERROR('📅 Aug'!G15,0)+IFERROR('📅 Sep'!G15,0)+IFERROR('📅 Oct'!G15,0)+IFERROR('📅 Nov'!G15,0)+IFERROR('📅 Dec'!G15,0)+IFERROR('📅 Jan'!G15,0))=0,"",IFERROR('📅 Mar'!G15,0)+IFERROR('📅 Apr'!G15,0)+IFERROR('📅 May'!G15,0)+IFERROR('📅 Jun'!G15,0)+IFERROR('📅 Jul'!G15,0)+IFERROR('📅 Aug'!G15,0)+IFERROR('📅 Sep'!G15,0)+IFERROR('📅 Oct'!G15,0)+IFERROR('📅 Nov'!G15,0)+IFERROR('📅 Dec'!G15,0)+IFERROR('📅 Jan'!G15,0))</f>
        <v/>
      </c>
      <c r="C141" s="87">
        <f>IF((IFERROR('📅 Mar'!G15,0))&gt;0,IFERROR('📅 Mar'!G15,0),IFERROR('📅 Mar'!H15,0))+IF((IFERROR('📅 Apr'!G15,0))&gt;0,IFERROR('📅 Apr'!G15,0),IFERROR('📅 Apr'!H15,0))+IF((IFERROR('📅 May'!G15,0))&gt;0,IFERROR('📅 May'!G15,0),IFERROR('📅 May'!H15,0))+IF((IFERROR('📅 Jun'!G15,0))&gt;0,IFERROR('📅 Jun'!G15,0),IFERROR('📅 Jun'!H15,0))+IF((IFERROR('📅 Jul'!G15,0))&gt;0,IFERROR('📅 Jul'!G15,0),IFERROR('📅 Jul'!H15,0))+IF((IFERROR('📅 Aug'!G15,0))&gt;0,IFERROR('📅 Aug'!G15,0),IFERROR('📅 Aug'!H15,0))+IF((IFERROR('📅 Sep'!G15,0))&gt;0,IFERROR('📅 Sep'!G15,0),IFERROR('📅 Sep'!H15,0))+IF((IFERROR('📅 Oct'!G15,0))&gt;0,IFERROR('📅 Oct'!G15,0),IFERROR('📅 Oct'!H15,0))+IF((IFERROR('📅 Nov'!G15,0))&gt;0,IFERROR('📅 Nov'!G15,0),IFERROR('📅 Nov'!H15,0))+IF((IFERROR('📅 Dec'!G15,0))&gt;0,IFERROR('📅 Dec'!G15,0),IFERROR('📅 Dec'!H15,0))+IF((IFERROR('📅 Jan'!G15,0))&gt;0,IFERROR('📅 Jan'!G15,0),IFERROR('📅 Jan'!H15,0))</f>
        <v>0</v>
      </c>
      <c r="D141" s="87">
        <f>'⚙️ Setup'!E23</f>
        <v>10144</v>
      </c>
      <c r="E141" s="87">
        <f>'⚙️ Setup'!F23</f>
        <v>4999.99</v>
      </c>
      <c r="F141" s="88">
        <f>'⚙️ Setup'!F23*0.75</f>
        <v>3749.9924999999998</v>
      </c>
      <c r="G141" s="89">
        <f>'⚙️ Setup'!F23</f>
        <v>4999.99</v>
      </c>
      <c r="H141" s="90">
        <f>'⚙️ Setup'!F23</f>
        <v>4999.99</v>
      </c>
    </row>
    <row r="142" spans="1:8" ht="18" customHeight="1" x14ac:dyDescent="0.35">
      <c r="A142" s="91" t="s">
        <v>243</v>
      </c>
      <c r="B142" s="92" t="str">
        <f>IF((IFERROR('📅 Mar'!G15,0)+IFERROR('📅 Apr'!G15,0)+IFERROR('📅 May'!G15,0)+IFERROR('📅 Jun'!G15,0)+IFERROR('📅 Jul'!G15,0)+IFERROR('📅 Aug'!G15,0)+IFERROR('📅 Sep'!G15,0)+IFERROR('📅 Oct'!G15,0)+IFERROR('📅 Nov'!G15,0)+IFERROR('📅 Dec'!G15,0)+IFERROR('📅 Jan'!G15,0)+IFERROR('📅 Feb-E'!G15,0))=0,"",IFERROR('📅 Mar'!G15,0)+IFERROR('📅 Apr'!G15,0)+IFERROR('📅 May'!G15,0)+IFERROR('📅 Jun'!G15,0)+IFERROR('📅 Jul'!G15,0)+IFERROR('📅 Aug'!G15,0)+IFERROR('📅 Sep'!G15,0)+IFERROR('📅 Oct'!G15,0)+IFERROR('📅 Nov'!G15,0)+IFERROR('📅 Dec'!G15,0)+IFERROR('📅 Jan'!G15,0)+IFERROR('📅 Feb-E'!G15,0))</f>
        <v/>
      </c>
      <c r="C142" s="92">
        <f>IF((IFERROR('📅 Mar'!G15,0))&gt;0,IFERROR('📅 Mar'!G15,0),IFERROR('📅 Mar'!H15,0))+IF((IFERROR('📅 Apr'!G15,0))&gt;0,IFERROR('📅 Apr'!G15,0),IFERROR('📅 Apr'!H15,0))+IF((IFERROR('📅 May'!G15,0))&gt;0,IFERROR('📅 May'!G15,0),IFERROR('📅 May'!H15,0))+IF((IFERROR('📅 Jun'!G15,0))&gt;0,IFERROR('📅 Jun'!G15,0),IFERROR('📅 Jun'!H15,0))+IF((IFERROR('📅 Jul'!G15,0))&gt;0,IFERROR('📅 Jul'!G15,0),IFERROR('📅 Jul'!H15,0))+IF((IFERROR('📅 Aug'!G15,0))&gt;0,IFERROR('📅 Aug'!G15,0),IFERROR('📅 Aug'!H15,0))+IF((IFERROR('📅 Sep'!G15,0))&gt;0,IFERROR('📅 Sep'!G15,0),IFERROR('📅 Sep'!H15,0))+IF((IFERROR('📅 Oct'!G15,0))&gt;0,IFERROR('📅 Oct'!G15,0),IFERROR('📅 Oct'!H15,0))+IF((IFERROR('📅 Nov'!G15,0))&gt;0,IFERROR('📅 Nov'!G15,0),IFERROR('📅 Nov'!H15,0))+IF((IFERROR('📅 Dec'!G15,0))&gt;0,IFERROR('📅 Dec'!G15,0),IFERROR('📅 Dec'!H15,0))+IF((IFERROR('📅 Jan'!G15,0))&gt;0,IFERROR('📅 Jan'!G15,0),IFERROR('📅 Jan'!H15,0))+IF((IFERROR('📅 Feb-E'!G15,0))&gt;0,IFERROR('📅 Feb-E'!G15,0),IFERROR('📅 Feb-E'!H15,0))</f>
        <v>0</v>
      </c>
      <c r="D142" s="92">
        <f>'⚙️ Setup'!E23</f>
        <v>10144</v>
      </c>
      <c r="E142" s="92">
        <f>'⚙️ Setup'!F23</f>
        <v>4999.99</v>
      </c>
      <c r="F142" s="88">
        <f>'⚙️ Setup'!F23*0.75</f>
        <v>3749.9924999999998</v>
      </c>
      <c r="G142" s="89">
        <f>'⚙️ Setup'!F23</f>
        <v>4999.99</v>
      </c>
      <c r="H142" s="90">
        <f>'⚙️ Setup'!F23</f>
        <v>4999.99</v>
      </c>
    </row>
    <row r="143" spans="1:8" ht="19.5" hidden="1" customHeight="1" x14ac:dyDescent="0.35">
      <c r="A143" s="107" t="s">
        <v>244</v>
      </c>
      <c r="B143" s="108"/>
      <c r="C143" s="116" t="str" cm="1">
        <f t="array" ref="C143">IFERROR(INDEX(A131:A142,_xlfn.AGGREGATE(15,6,(ROW(A131:A142)-ROW(A131)+1)/(C131:C142&gt;='⚙️ Setup'!F23*0.75),1)),"Not yet projected")</f>
        <v>Not yet projected</v>
      </c>
      <c r="D143" s="110"/>
      <c r="E143" s="108"/>
    </row>
    <row r="144" spans="1:8" ht="19.5" hidden="1" customHeight="1" x14ac:dyDescent="0.35">
      <c r="A144" s="111" t="s">
        <v>245</v>
      </c>
      <c r="B144" s="108"/>
      <c r="C144" s="118" t="str" cm="1">
        <f t="array" ref="C144">IFERROR(INDEX(A131:A142,_xlfn.AGGREGATE(15,6,(ROW(A131:A142)-ROW(A131)+1)/(C131:C142&gt;='⚙️ Setup'!F23),1)),"Not yet projected")</f>
        <v>Not yet projected</v>
      </c>
      <c r="D144" s="110"/>
      <c r="E144" s="108"/>
    </row>
    <row r="145" spans="1:6" ht="18" hidden="1" customHeight="1" x14ac:dyDescent="0.35">
      <c r="A145" s="91"/>
      <c r="B145" s="92"/>
      <c r="C145" s="92"/>
      <c r="D145" s="92"/>
      <c r="E145" s="92"/>
      <c r="F145" s="76"/>
    </row>
    <row r="146" spans="1:6" ht="18" hidden="1" customHeight="1" x14ac:dyDescent="0.35">
      <c r="A146" s="86"/>
      <c r="B146" s="87"/>
      <c r="C146" s="87"/>
      <c r="D146" s="87"/>
      <c r="E146" s="87"/>
      <c r="F146" s="75"/>
    </row>
  </sheetData>
  <mergeCells count="45">
    <mergeCell ref="C144:E144"/>
    <mergeCell ref="A49:G49"/>
    <mergeCell ref="C32:E32"/>
    <mergeCell ref="A1:G1"/>
    <mergeCell ref="A95:B95"/>
    <mergeCell ref="C111:E111"/>
    <mergeCell ref="A129:E129"/>
    <mergeCell ref="A47:B47"/>
    <mergeCell ref="C96:E96"/>
    <mergeCell ref="A32:B32"/>
    <mergeCell ref="A65:G65"/>
    <mergeCell ref="A144:B144"/>
    <mergeCell ref="C15:E15"/>
    <mergeCell ref="A96:B96"/>
    <mergeCell ref="A112:B112"/>
    <mergeCell ref="A63:B63"/>
    <mergeCell ref="A15:B15"/>
    <mergeCell ref="A17:G17"/>
    <mergeCell ref="C80:E80"/>
    <mergeCell ref="C31:E31"/>
    <mergeCell ref="C127:E127"/>
    <mergeCell ref="A81:G81"/>
    <mergeCell ref="A79:B79"/>
    <mergeCell ref="C95:E95"/>
    <mergeCell ref="A33:G33"/>
    <mergeCell ref="A16:B16"/>
    <mergeCell ref="C48:E48"/>
    <mergeCell ref="A80:B80"/>
    <mergeCell ref="C79:E79"/>
    <mergeCell ref="A111:B111"/>
    <mergeCell ref="C64:E64"/>
    <mergeCell ref="A127:B127"/>
    <mergeCell ref="A143:B143"/>
    <mergeCell ref="C112:E112"/>
    <mergeCell ref="A48:B48"/>
    <mergeCell ref="C16:E16"/>
    <mergeCell ref="A97:G97"/>
    <mergeCell ref="A64:B64"/>
    <mergeCell ref="C143:E143"/>
    <mergeCell ref="A128:B128"/>
    <mergeCell ref="C128:E128"/>
    <mergeCell ref="A113:G113"/>
    <mergeCell ref="A31:B31"/>
    <mergeCell ref="C63:E63"/>
    <mergeCell ref="C47:E4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2E5F8A"/>
  </sheetPr>
  <dimension ref="A1:G22"/>
  <sheetViews>
    <sheetView showGridLines="0" zoomScale="98" zoomScaleNormal="108" workbookViewId="0">
      <selection activeCell="E25" sqref="E25"/>
    </sheetView>
  </sheetViews>
  <sheetFormatPr defaultColWidth="8.6328125" defaultRowHeight="14.5" x14ac:dyDescent="0.35"/>
  <cols>
    <col min="1" max="1" width="10" customWidth="1"/>
    <col min="2" max="7" width="16" customWidth="1"/>
  </cols>
  <sheetData>
    <row r="1" spans="1:7" ht="30" customHeight="1" x14ac:dyDescent="0.35">
      <c r="A1" s="200" t="s">
        <v>249</v>
      </c>
      <c r="B1" s="110"/>
      <c r="C1" s="110"/>
      <c r="D1" s="110"/>
      <c r="E1" s="110"/>
      <c r="F1" s="110"/>
      <c r="G1" s="110"/>
    </row>
    <row r="3" spans="1:7" ht="24" customHeight="1" x14ac:dyDescent="0.35">
      <c r="A3" s="41" t="s">
        <v>203</v>
      </c>
      <c r="B3" s="94" t="s">
        <v>250</v>
      </c>
      <c r="C3" s="94" t="s">
        <v>251</v>
      </c>
      <c r="D3" s="41" t="s">
        <v>228</v>
      </c>
      <c r="E3" s="95" t="s">
        <v>252</v>
      </c>
      <c r="F3" s="96" t="s">
        <v>220</v>
      </c>
      <c r="G3" s="97" t="s">
        <v>221</v>
      </c>
    </row>
    <row r="4" spans="1:7" ht="18" customHeight="1" x14ac:dyDescent="0.35">
      <c r="A4" s="42" t="s">
        <v>253</v>
      </c>
      <c r="B4" s="87">
        <f>IFERROR('📅 Mar'!G16,0)</f>
        <v>346488.56</v>
      </c>
      <c r="C4" s="87">
        <f>IFERROR('📅 Mar'!H16,0)</f>
        <v>325111.68080000009</v>
      </c>
      <c r="D4" s="87">
        <f>IF((IFERROR('📅 Mar'!G16,0))=0,"",IFERROR('📅 Mar'!G16,0))</f>
        <v>346488.56</v>
      </c>
      <c r="E4" s="87">
        <f>IF((IFERROR('📅 Mar'!G16,0))&gt;0,IFERROR('📅 Mar'!G16,0),IFERROR('📅 Mar'!H16,0))</f>
        <v>346488.56</v>
      </c>
      <c r="F4" s="87">
        <f>'⚙️ Setup'!E24</f>
        <v>3523254.67</v>
      </c>
      <c r="G4" s="87">
        <f>'⚙️ Setup'!F24</f>
        <v>2670173.3200000003</v>
      </c>
    </row>
    <row r="5" spans="1:7" ht="18" customHeight="1" x14ac:dyDescent="0.35">
      <c r="A5" s="46" t="s">
        <v>234</v>
      </c>
      <c r="B5" s="92">
        <f>IFERROR('📅 Apr'!G16,0)</f>
        <v>0</v>
      </c>
      <c r="C5" s="92">
        <f>IFERROR('📅 Apr'!H16,0)</f>
        <v>418453.82839999994</v>
      </c>
      <c r="D5" s="92">
        <f>IF((IFERROR('📅 Mar'!G16,0)+IFERROR('📅 Apr'!G16,0))=0,"",IFERROR('📅 Mar'!G16,0)+IFERROR('📅 Apr'!G16,0))</f>
        <v>346488.56</v>
      </c>
      <c r="E5" s="92">
        <f>IF((IFERROR('📅 Mar'!G16,0))&gt;0,IFERROR('📅 Mar'!G16,0),IFERROR('📅 Mar'!H16,0))+IF((IFERROR('📅 Apr'!G16,0))&gt;0,IFERROR('📅 Apr'!G16,0),IFERROR('📅 Apr'!H16,0))</f>
        <v>764942.38839999994</v>
      </c>
      <c r="F5" s="92">
        <f>'⚙️ Setup'!E24</f>
        <v>3523254.67</v>
      </c>
      <c r="G5" s="92">
        <f>'⚙️ Setup'!F24</f>
        <v>2670173.3200000003</v>
      </c>
    </row>
    <row r="6" spans="1:7" ht="18" customHeight="1" x14ac:dyDescent="0.35">
      <c r="A6" s="42" t="s">
        <v>139</v>
      </c>
      <c r="B6" s="87">
        <f>IFERROR('📅 May'!G16,0)</f>
        <v>0</v>
      </c>
      <c r="C6" s="87">
        <f>IFERROR('📅 May'!H16,0)</f>
        <v>327914.38240000006</v>
      </c>
      <c r="D6" s="87">
        <f>IF((IFERROR('📅 Mar'!G16,0)+IFERROR('📅 Apr'!G16,0)+IFERROR('📅 May'!G16,0))=0,"",IFERROR('📅 Mar'!G16,0)+IFERROR('📅 Apr'!G16,0)+IFERROR('📅 May'!G16,0))</f>
        <v>346488.56</v>
      </c>
      <c r="E6" s="87">
        <f>IF((IFERROR('📅 Mar'!G16,0))&gt;0,IFERROR('📅 Mar'!G16,0),IFERROR('📅 Mar'!H16,0))+IF((IFERROR('📅 Apr'!G16,0))&gt;0,IFERROR('📅 Apr'!G16,0),IFERROR('📅 Apr'!H16,0))+IF((IFERROR('📅 May'!G16,0))&gt;0,IFERROR('📅 May'!G16,0),IFERROR('📅 May'!H16,0))</f>
        <v>1092856.7708000001</v>
      </c>
      <c r="F6" s="87">
        <f>'⚙️ Setup'!E24</f>
        <v>3523254.67</v>
      </c>
      <c r="G6" s="87">
        <f>'⚙️ Setup'!F24</f>
        <v>2670173.3200000003</v>
      </c>
    </row>
    <row r="7" spans="1:7" ht="18" customHeight="1" x14ac:dyDescent="0.35">
      <c r="A7" s="46" t="s">
        <v>235</v>
      </c>
      <c r="B7" s="92">
        <f>IFERROR('📅 Jun'!G16,0)</f>
        <v>0</v>
      </c>
      <c r="C7" s="92">
        <f>IFERROR('📅 Jun'!H16,0)</f>
        <v>326536.43959999998</v>
      </c>
      <c r="D7" s="92">
        <f>IF((IFERROR('📅 Mar'!G16,0)+IFERROR('📅 Apr'!G16,0)+IFERROR('📅 May'!G16,0)+IFERROR('📅 Jun'!G16,0))=0,"",IFERROR('📅 Mar'!G16,0)+IFERROR('📅 Apr'!G16,0)+IFERROR('📅 May'!G16,0)+IFERROR('📅 Jun'!G16,0))</f>
        <v>346488.56</v>
      </c>
      <c r="E7" s="92">
        <f>IF((IFERROR('📅 Mar'!G16,0))&gt;0,IFERROR('📅 Mar'!G16,0),IFERROR('📅 Mar'!H16,0))+IF((IFERROR('📅 Apr'!G16,0))&gt;0,IFERROR('📅 Apr'!G16,0),IFERROR('📅 Apr'!H16,0))+IF((IFERROR('📅 May'!G16,0))&gt;0,IFERROR('📅 May'!G16,0),IFERROR('📅 May'!H16,0))+IF((IFERROR('📅 Jun'!G16,0))&gt;0,IFERROR('📅 Jun'!G16,0),IFERROR('📅 Jun'!H16,0))</f>
        <v>1419393.2104</v>
      </c>
      <c r="F7" s="92">
        <f>'⚙️ Setup'!E24</f>
        <v>3523254.67</v>
      </c>
      <c r="G7" s="92">
        <f>'⚙️ Setup'!F24</f>
        <v>2670173.3200000003</v>
      </c>
    </row>
    <row r="8" spans="1:7" ht="18" customHeight="1" x14ac:dyDescent="0.35">
      <c r="A8" s="42" t="s">
        <v>236</v>
      </c>
      <c r="B8" s="87">
        <f>IFERROR('📅 Jul'!G16,0)</f>
        <v>0</v>
      </c>
      <c r="C8" s="87">
        <f>IFERROR('📅 Jul'!H16,0)</f>
        <v>336536.32480000006</v>
      </c>
      <c r="D8" s="87">
        <f>IF((IFERROR('📅 Mar'!G16,0)+IFERROR('📅 Apr'!G16,0)+IFERROR('📅 May'!G16,0)+IFERROR('📅 Jun'!G16,0)+IFERROR('📅 Jul'!G16,0))=0,"",IFERROR('📅 Mar'!G16,0)+IFERROR('📅 Apr'!G16,0)+IFERROR('📅 May'!G16,0)+IFERROR('📅 Jun'!G16,0)+IFERROR('📅 Jul'!G16,0))</f>
        <v>346488.56</v>
      </c>
      <c r="E8" s="87">
        <f>IF((IFERROR('📅 Mar'!G16,0))&gt;0,IFERROR('📅 Mar'!G16,0),IFERROR('📅 Mar'!H16,0))+IF((IFERROR('📅 Apr'!G16,0))&gt;0,IFERROR('📅 Apr'!G16,0),IFERROR('📅 Apr'!H16,0))+IF((IFERROR('📅 May'!G16,0))&gt;0,IFERROR('📅 May'!G16,0),IFERROR('📅 May'!H16,0))+IF((IFERROR('📅 Jun'!G16,0))&gt;0,IFERROR('📅 Jun'!G16,0),IFERROR('📅 Jun'!H16,0))+IF((IFERROR('📅 Jul'!G16,0))&gt;0,IFERROR('📅 Jul'!G16,0),IFERROR('📅 Jul'!H16,0))</f>
        <v>1755929.5352</v>
      </c>
      <c r="F8" s="87">
        <f>'⚙️ Setup'!E24</f>
        <v>3523254.67</v>
      </c>
      <c r="G8" s="87">
        <f>'⚙️ Setup'!F24</f>
        <v>2670173.3200000003</v>
      </c>
    </row>
    <row r="9" spans="1:7" ht="18" customHeight="1" x14ac:dyDescent="0.35">
      <c r="A9" s="46" t="s">
        <v>237</v>
      </c>
      <c r="B9" s="92">
        <f>IFERROR('📅 Aug'!G16,0)</f>
        <v>0</v>
      </c>
      <c r="C9" s="92">
        <f>IFERROR('📅 Aug'!H16,0)</f>
        <v>322444.31959999999</v>
      </c>
      <c r="D9" s="92">
        <f>IF((IFERROR('📅 Mar'!G16,0)+IFERROR('📅 Apr'!G16,0)+IFERROR('📅 May'!G16,0)+IFERROR('📅 Jun'!G16,0)+IFERROR('📅 Jul'!G16,0)+IFERROR('📅 Aug'!G16,0))=0,"",IFERROR('📅 Mar'!G16,0)+IFERROR('📅 Apr'!G16,0)+IFERROR('📅 May'!G16,0)+IFERROR('📅 Jun'!G16,0)+IFERROR('📅 Jul'!G16,0)+IFERROR('📅 Aug'!G16,0))</f>
        <v>346488.56</v>
      </c>
      <c r="E9" s="92">
        <f>IF((IFERROR('📅 Mar'!G16,0))&gt;0,IFERROR('📅 Mar'!G16,0),IFERROR('📅 Mar'!H16,0))+IF((IFERROR('📅 Apr'!G16,0))&gt;0,IFERROR('📅 Apr'!G16,0),IFERROR('📅 Apr'!H16,0))+IF((IFERROR('📅 May'!G16,0))&gt;0,IFERROR('📅 May'!G16,0),IFERROR('📅 May'!H16,0))+IF((IFERROR('📅 Jun'!G16,0))&gt;0,IFERROR('📅 Jun'!G16,0),IFERROR('📅 Jun'!H16,0))+IF((IFERROR('📅 Jul'!G16,0))&gt;0,IFERROR('📅 Jul'!G16,0),IFERROR('📅 Jul'!H16,0))+IF((IFERROR('📅 Aug'!G16,0))&gt;0,IFERROR('📅 Aug'!G16,0),IFERROR('📅 Aug'!H16,0))</f>
        <v>2078373.8548000001</v>
      </c>
      <c r="F9" s="92">
        <f>'⚙️ Setup'!E24</f>
        <v>3523254.67</v>
      </c>
      <c r="G9" s="92">
        <f>'⚙️ Setup'!F24</f>
        <v>2670173.3200000003</v>
      </c>
    </row>
    <row r="10" spans="1:7" ht="18" customHeight="1" x14ac:dyDescent="0.35">
      <c r="A10" s="42" t="s">
        <v>238</v>
      </c>
      <c r="B10" s="87">
        <f>IFERROR('📅 Sep'!G16,0)</f>
        <v>0</v>
      </c>
      <c r="C10" s="100">
        <f>IFERROR('📅 Sep'!H16,0)</f>
        <v>328944.53719999996</v>
      </c>
      <c r="D10" s="100">
        <f>IF((IFERROR('📅 Mar'!G16,0)+IFERROR('📅 Apr'!G16,0)+IFERROR('📅 May'!G16,0)+IFERROR('📅 Jun'!G16,0)+IFERROR('📅 Jul'!G16,0)+IFERROR('📅 Aug'!G16,0)+IFERROR('📅 Sep'!G16,0))=0,"",IFERROR('📅 Mar'!G16,0)+IFERROR('📅 Apr'!G16,0)+IFERROR('📅 May'!G16,0)+IFERROR('📅 Jun'!G16,0)+IFERROR('📅 Jul'!G16,0)+IFERROR('📅 Aug'!G16,0)+IFERROR('📅 Sep'!G16,0))</f>
        <v>346488.56</v>
      </c>
      <c r="E10" s="100">
        <f>IF((IFERROR('📅 Mar'!G16,0))&gt;0,IFERROR('📅 Mar'!G16,0),IFERROR('📅 Mar'!H16,0))+IF((IFERROR('📅 Apr'!G16,0))&gt;0,IFERROR('📅 Apr'!G16,0),IFERROR('📅 Apr'!H16,0))+IF((IFERROR('📅 May'!G16,0))&gt;0,IFERROR('📅 May'!G16,0),IFERROR('📅 May'!H16,0))+IF((IFERROR('📅 Jun'!G16,0))&gt;0,IFERROR('📅 Jun'!G16,0),IFERROR('📅 Jun'!H16,0))+IF((IFERROR('📅 Jul'!G16,0))&gt;0,IFERROR('📅 Jul'!G16,0),IFERROR('📅 Jul'!H16,0))+IF((IFERROR('📅 Aug'!G16,0))&gt;0,IFERROR('📅 Aug'!G16,0),IFERROR('📅 Aug'!H16,0))+IF((IFERROR('📅 Sep'!G16,0))&gt;0,IFERROR('📅 Sep'!G16,0),IFERROR('📅 Sep'!H16,0))</f>
        <v>2407318.392</v>
      </c>
      <c r="F10" s="100">
        <f>'⚙️ Setup'!E24</f>
        <v>3523254.67</v>
      </c>
      <c r="G10" s="87">
        <f>'⚙️ Setup'!F24</f>
        <v>2670173.3200000003</v>
      </c>
    </row>
    <row r="11" spans="1:7" ht="18" customHeight="1" x14ac:dyDescent="0.35">
      <c r="A11" s="46" t="s">
        <v>239</v>
      </c>
      <c r="B11" s="92">
        <f>IFERROR('📅 Oct'!G16,0)</f>
        <v>0</v>
      </c>
      <c r="C11" s="101">
        <f>IFERROR('📅 Oct'!H16,0)</f>
        <v>300676.30720000004</v>
      </c>
      <c r="D11" s="101">
        <f>IF((IFERROR('📅 Mar'!G16,0)+IFERROR('📅 Apr'!G16,0)+IFERROR('📅 May'!G16,0)+IFERROR('📅 Jun'!G16,0)+IFERROR('📅 Jul'!G16,0)+IFERROR('📅 Aug'!G16,0)+IFERROR('📅 Sep'!G16,0)+IFERROR('📅 Oct'!G16,0))=0,"",IFERROR('📅 Mar'!G16,0)+IFERROR('📅 Apr'!G16,0)+IFERROR('📅 May'!G16,0)+IFERROR('📅 Jun'!G16,0)+IFERROR('📅 Jul'!G16,0)+IFERROR('📅 Aug'!G16,0)+IFERROR('📅 Sep'!G16,0)+IFERROR('📅 Oct'!G16,0))</f>
        <v>346488.56</v>
      </c>
      <c r="E11" s="101">
        <f>IF((IFERROR('📅 Mar'!G16,0))&gt;0,IFERROR('📅 Mar'!G16,0),IFERROR('📅 Mar'!H16,0))+IF((IFERROR('📅 Apr'!G16,0))&gt;0,IFERROR('📅 Apr'!G16,0),IFERROR('📅 Apr'!H16,0))+IF((IFERROR('📅 May'!G16,0))&gt;0,IFERROR('📅 May'!G16,0),IFERROR('📅 May'!H16,0))+IF((IFERROR('📅 Jun'!G16,0))&gt;0,IFERROR('📅 Jun'!G16,0),IFERROR('📅 Jun'!H16,0))+IF((IFERROR('📅 Jul'!G16,0))&gt;0,IFERROR('📅 Jul'!G16,0),IFERROR('📅 Jul'!H16,0))+IF((IFERROR('📅 Aug'!G16,0))&gt;0,IFERROR('📅 Aug'!G16,0),IFERROR('📅 Aug'!H16,0))+IF((IFERROR('📅 Sep'!G16,0))&gt;0,IFERROR('📅 Sep'!G16,0),IFERROR('📅 Sep'!H16,0))+IF((IFERROR('📅 Oct'!G16,0))&gt;0,IFERROR('📅 Oct'!G16,0),IFERROR('📅 Oct'!H16,0))</f>
        <v>2707994.6992000001</v>
      </c>
      <c r="F11" s="101">
        <f>'⚙️ Setup'!E24</f>
        <v>3523254.67</v>
      </c>
      <c r="G11" s="92">
        <f>'⚙️ Setup'!F24</f>
        <v>2670173.3200000003</v>
      </c>
    </row>
    <row r="12" spans="1:7" ht="18" customHeight="1" x14ac:dyDescent="0.35">
      <c r="A12" s="42" t="s">
        <v>240</v>
      </c>
      <c r="B12" s="87">
        <f>IFERROR('📅 Nov'!G16,0)</f>
        <v>0</v>
      </c>
      <c r="C12" s="100">
        <f>IFERROR('📅 Nov'!H16,0)</f>
        <v>249572.70199999999</v>
      </c>
      <c r="D12" s="100">
        <f>IF((IFERROR('📅 Mar'!G16,0)+IFERROR('📅 Apr'!G16,0)+IFERROR('📅 May'!G16,0)+IFERROR('📅 Jun'!G16,0)+IFERROR('📅 Jul'!G16,0)+IFERROR('📅 Aug'!G16,0)+IFERROR('📅 Sep'!G16,0)+IFERROR('📅 Oct'!G16,0)+IFERROR('📅 Nov'!G16,0))=0,"",IFERROR('📅 Mar'!G16,0)+IFERROR('📅 Apr'!G16,0)+IFERROR('📅 May'!G16,0)+IFERROR('📅 Jun'!G16,0)+IFERROR('📅 Jul'!G16,0)+IFERROR('📅 Aug'!G16,0)+IFERROR('📅 Sep'!G16,0)+IFERROR('📅 Oct'!G16,0)+IFERROR('📅 Nov'!G16,0))</f>
        <v>346488.56</v>
      </c>
      <c r="E12" s="100">
        <f>IF((IFERROR('📅 Mar'!G16,0))&gt;0,IFERROR('📅 Mar'!G16,0),IFERROR('📅 Mar'!H16,0))+IF((IFERROR('📅 Apr'!G16,0))&gt;0,IFERROR('📅 Apr'!G16,0),IFERROR('📅 Apr'!H16,0))+IF((IFERROR('📅 May'!G16,0))&gt;0,IFERROR('📅 May'!G16,0),IFERROR('📅 May'!H16,0))+IF((IFERROR('📅 Jun'!G16,0))&gt;0,IFERROR('📅 Jun'!G16,0),IFERROR('📅 Jun'!H16,0))+IF((IFERROR('📅 Jul'!G16,0))&gt;0,IFERROR('📅 Jul'!G16,0),IFERROR('📅 Jul'!H16,0))+IF((IFERROR('📅 Aug'!G16,0))&gt;0,IFERROR('📅 Aug'!G16,0),IFERROR('📅 Aug'!H16,0))+IF((IFERROR('📅 Sep'!G16,0))&gt;0,IFERROR('📅 Sep'!G16,0),IFERROR('📅 Sep'!H16,0))+IF((IFERROR('📅 Oct'!G16,0))&gt;0,IFERROR('📅 Oct'!G16,0),IFERROR('📅 Oct'!H16,0))+IF((IFERROR('📅 Nov'!G16,0))&gt;0,IFERROR('📅 Nov'!G16,0),IFERROR('📅 Nov'!H16,0))</f>
        <v>2957567.4012000002</v>
      </c>
      <c r="F12" s="100">
        <f>'⚙️ Setup'!E24</f>
        <v>3523254.67</v>
      </c>
      <c r="G12" s="87">
        <f>'⚙️ Setup'!F24</f>
        <v>2670173.3200000003</v>
      </c>
    </row>
    <row r="13" spans="1:7" ht="18" customHeight="1" x14ac:dyDescent="0.35">
      <c r="A13" s="46" t="s">
        <v>241</v>
      </c>
      <c r="B13" s="92">
        <f>IFERROR('📅 Dec'!G16,0)</f>
        <v>0</v>
      </c>
      <c r="C13" s="101">
        <f>IFERROR('📅 Dec'!H16,0)</f>
        <v>259045.5472</v>
      </c>
      <c r="D13" s="101">
        <f>IF((IFERROR('📅 Mar'!G16,0)+IFERROR('📅 Apr'!G16,0)+IFERROR('📅 May'!G16,0)+IFERROR('📅 Jun'!G16,0)+IFERROR('📅 Jul'!G16,0)+IFERROR('📅 Aug'!G16,0)+IFERROR('📅 Sep'!G16,0)+IFERROR('📅 Oct'!G16,0)+IFERROR('📅 Nov'!G16,0)+IFERROR('📅 Dec'!G16,0))=0,"",IFERROR('📅 Mar'!G16,0)+IFERROR('📅 Apr'!G16,0)+IFERROR('📅 May'!G16,0)+IFERROR('📅 Jun'!G16,0)+IFERROR('📅 Jul'!G16,0)+IFERROR('📅 Aug'!G16,0)+IFERROR('📅 Sep'!G16,0)+IFERROR('📅 Oct'!G16,0)+IFERROR('📅 Nov'!G16,0)+IFERROR('📅 Dec'!G16,0))</f>
        <v>346488.56</v>
      </c>
      <c r="E13" s="101">
        <f>IF((IFERROR('📅 Mar'!G16,0))&gt;0,IFERROR('📅 Mar'!G16,0),IFERROR('📅 Mar'!H16,0))+IF((IFERROR('📅 Apr'!G16,0))&gt;0,IFERROR('📅 Apr'!G16,0),IFERROR('📅 Apr'!H16,0))+IF((IFERROR('📅 May'!G16,0))&gt;0,IFERROR('📅 May'!G16,0),IFERROR('📅 May'!H16,0))+IF((IFERROR('📅 Jun'!G16,0))&gt;0,IFERROR('📅 Jun'!G16,0),IFERROR('📅 Jun'!H16,0))+IF((IFERROR('📅 Jul'!G16,0))&gt;0,IFERROR('📅 Jul'!G16,0),IFERROR('📅 Jul'!H16,0))+IF((IFERROR('📅 Aug'!G16,0))&gt;0,IFERROR('📅 Aug'!G16,0),IFERROR('📅 Aug'!H16,0))+IF((IFERROR('📅 Sep'!G16,0))&gt;0,IFERROR('📅 Sep'!G16,0),IFERROR('📅 Sep'!H16,0))+IF((IFERROR('📅 Oct'!G16,0))&gt;0,IFERROR('📅 Oct'!G16,0),IFERROR('📅 Oct'!H16,0))+IF((IFERROR('📅 Nov'!G16,0))&gt;0,IFERROR('📅 Nov'!G16,0),IFERROR('📅 Nov'!H16,0))+IF((IFERROR('📅 Dec'!G16,0))&gt;0,IFERROR('📅 Dec'!G16,0),IFERROR('📅 Dec'!H16,0))</f>
        <v>3216612.9484000001</v>
      </c>
      <c r="F13" s="101">
        <f>'⚙️ Setup'!E24</f>
        <v>3523254.67</v>
      </c>
      <c r="G13" s="92">
        <f>'⚙️ Setup'!F24</f>
        <v>2670173.3200000003</v>
      </c>
    </row>
    <row r="14" spans="1:7" ht="18" customHeight="1" x14ac:dyDescent="0.35">
      <c r="A14" s="42" t="s">
        <v>242</v>
      </c>
      <c r="B14" s="87">
        <f>IFERROR('📅 Jan'!G16,0)</f>
        <v>0</v>
      </c>
      <c r="C14" s="100">
        <f>IFERROR('📅 Jan'!H16,0)</f>
        <v>249572.70199999999</v>
      </c>
      <c r="D14" s="100">
        <f>IF((IFERROR('📅 Mar'!G16,0)+IFERROR('📅 Apr'!G16,0)+IFERROR('📅 May'!G16,0)+IFERROR('📅 Jun'!G16,0)+IFERROR('📅 Jul'!G16,0)+IFERROR('📅 Aug'!G16,0)+IFERROR('📅 Sep'!G16,0)+IFERROR('📅 Oct'!G16,0)+IFERROR('📅 Nov'!G16,0)+IFERROR('📅 Dec'!G16,0)+IFERROR('📅 Jan'!G16,0))=0,"",IFERROR('📅 Mar'!G16,0)+IFERROR('📅 Apr'!G16,0)+IFERROR('📅 May'!G16,0)+IFERROR('📅 Jun'!G16,0)+IFERROR('📅 Jul'!G16,0)+IFERROR('📅 Aug'!G16,0)+IFERROR('📅 Sep'!G16,0)+IFERROR('📅 Oct'!G16,0)+IFERROR('📅 Nov'!G16,0)+IFERROR('📅 Dec'!G16,0)+IFERROR('📅 Jan'!G16,0))</f>
        <v>346488.56</v>
      </c>
      <c r="E14" s="100">
        <f>IF((IFERROR('📅 Mar'!G16,0))&gt;0,IFERROR('📅 Mar'!G16,0),IFERROR('📅 Mar'!H16,0))+IF((IFERROR('📅 Apr'!G16,0))&gt;0,IFERROR('📅 Apr'!G16,0),IFERROR('📅 Apr'!H16,0))+IF((IFERROR('📅 May'!G16,0))&gt;0,IFERROR('📅 May'!G16,0),IFERROR('📅 May'!H16,0))+IF((IFERROR('📅 Jun'!G16,0))&gt;0,IFERROR('📅 Jun'!G16,0),IFERROR('📅 Jun'!H16,0))+IF((IFERROR('📅 Jul'!G16,0))&gt;0,IFERROR('📅 Jul'!G16,0),IFERROR('📅 Jul'!H16,0))+IF((IFERROR('📅 Aug'!G16,0))&gt;0,IFERROR('📅 Aug'!G16,0),IFERROR('📅 Aug'!H16,0))+IF((IFERROR('📅 Sep'!G16,0))&gt;0,IFERROR('📅 Sep'!G16,0),IFERROR('📅 Sep'!H16,0))+IF((IFERROR('📅 Oct'!G16,0))&gt;0,IFERROR('📅 Oct'!G16,0),IFERROR('📅 Oct'!H16,0))+IF((IFERROR('📅 Nov'!G16,0))&gt;0,IFERROR('📅 Nov'!G16,0),IFERROR('📅 Nov'!H16,0))+IF((IFERROR('📅 Dec'!G16,0))&gt;0,IFERROR('📅 Dec'!G16,0),IFERROR('📅 Dec'!H16,0))+IF((IFERROR('📅 Jan'!G16,0))&gt;0,IFERROR('📅 Jan'!G16,0),IFERROR('📅 Jan'!H16,0))</f>
        <v>3466185.6504000002</v>
      </c>
      <c r="F14" s="100">
        <f>'⚙️ Setup'!E24</f>
        <v>3523254.67</v>
      </c>
      <c r="G14" s="87">
        <f>'⚙️ Setup'!F24</f>
        <v>2670173.3200000003</v>
      </c>
    </row>
    <row r="15" spans="1:7" ht="18" customHeight="1" x14ac:dyDescent="0.35">
      <c r="A15" s="46" t="s">
        <v>243</v>
      </c>
      <c r="B15" s="92">
        <f>IFERROR('📅 Feb-E'!G16,0)</f>
        <v>0</v>
      </c>
      <c r="C15" s="101">
        <f>IFERROR('📅 Feb-E'!H16,0)</f>
        <v>229482.3492</v>
      </c>
      <c r="D15" s="101">
        <f>IF((IFERROR('📅 Mar'!G16,0)+IFERROR('📅 Apr'!G16,0)+IFERROR('📅 May'!G16,0)+IFERROR('📅 Jun'!G16,0)+IFERROR('📅 Jul'!G16,0)+IFERROR('📅 Aug'!G16,0)+IFERROR('📅 Sep'!G16,0)+IFERROR('📅 Oct'!G16,0)+IFERROR('📅 Nov'!G16,0)+IFERROR('📅 Dec'!G16,0)+IFERROR('📅 Jan'!G16,0)+IFERROR('📅 Feb-E'!G16,0))=0,"",IFERROR('📅 Mar'!G16,0)+IFERROR('📅 Apr'!G16,0)+IFERROR('📅 May'!G16,0)+IFERROR('📅 Jun'!G16,0)+IFERROR('📅 Jul'!G16,0)+IFERROR('📅 Aug'!G16,0)+IFERROR('📅 Sep'!G16,0)+IFERROR('📅 Oct'!G16,0)+IFERROR('📅 Nov'!G16,0)+IFERROR('📅 Dec'!G16,0)+IFERROR('📅 Jan'!G16,0)+IFERROR('📅 Feb-E'!G16,0))</f>
        <v>346488.56</v>
      </c>
      <c r="E15" s="101">
        <f>IF((IFERROR('📅 Mar'!G16,0))&gt;0,IFERROR('📅 Mar'!G16,0),IFERROR('📅 Mar'!H16,0))+IF((IFERROR('📅 Apr'!G16,0))&gt;0,IFERROR('📅 Apr'!G16,0),IFERROR('📅 Apr'!H16,0))+IF((IFERROR('📅 May'!G16,0))&gt;0,IFERROR('📅 May'!G16,0),IFERROR('📅 May'!H16,0))+IF((IFERROR('📅 Jun'!G16,0))&gt;0,IFERROR('📅 Jun'!G16,0),IFERROR('📅 Jun'!H16,0))+IF((IFERROR('📅 Jul'!G16,0))&gt;0,IFERROR('📅 Jul'!G16,0),IFERROR('📅 Jul'!H16,0))+IF((IFERROR('📅 Aug'!G16,0))&gt;0,IFERROR('📅 Aug'!G16,0),IFERROR('📅 Aug'!H16,0))+IF((IFERROR('📅 Sep'!G16,0))&gt;0,IFERROR('📅 Sep'!G16,0),IFERROR('📅 Sep'!H16,0))+IF((IFERROR('📅 Oct'!G16,0))&gt;0,IFERROR('📅 Oct'!G16,0),IFERROR('📅 Oct'!H16,0))+IF((IFERROR('📅 Nov'!G16,0))&gt;0,IFERROR('📅 Nov'!G16,0),IFERROR('📅 Nov'!H16,0))+IF((IFERROR('📅 Dec'!G16,0))&gt;0,IFERROR('📅 Dec'!G16,0),IFERROR('📅 Dec'!H16,0))+IF((IFERROR('📅 Jan'!G16,0))&gt;0,IFERROR('📅 Jan'!G16,0),IFERROR('📅 Jan'!H16,0))+IF((IFERROR('📅 Feb-E'!G16,0))&gt;0,IFERROR('📅 Feb-E'!G16,0),IFERROR('📅 Feb-E'!H16,0))</f>
        <v>3695667.9996000002</v>
      </c>
      <c r="F15" s="101">
        <f>'⚙️ Setup'!E24</f>
        <v>3523254.67</v>
      </c>
      <c r="G15" s="92">
        <f>'⚙️ Setup'!F24</f>
        <v>2670173.3200000003</v>
      </c>
    </row>
    <row r="16" spans="1:7" ht="18" customHeight="1" x14ac:dyDescent="0.35">
      <c r="A16" s="86"/>
      <c r="B16" s="87"/>
      <c r="C16" s="100"/>
      <c r="D16" s="100"/>
      <c r="E16" s="100"/>
      <c r="F16" s="100"/>
      <c r="G16" s="87"/>
    </row>
    <row r="17" spans="3:6" x14ac:dyDescent="0.35">
      <c r="C17" s="198" t="s">
        <v>254</v>
      </c>
      <c r="D17" s="199"/>
      <c r="E17" s="102">
        <f>E15-F15</f>
        <v>172413.32960000029</v>
      </c>
      <c r="F17" s="106" t="s">
        <v>255</v>
      </c>
    </row>
    <row r="18" spans="3:6" x14ac:dyDescent="0.35">
      <c r="C18" s="103"/>
      <c r="D18" s="103"/>
      <c r="E18" s="103">
        <v>450000</v>
      </c>
      <c r="F18" s="103"/>
    </row>
    <row r="19" spans="3:6" x14ac:dyDescent="0.35">
      <c r="C19" s="103"/>
      <c r="D19" s="103" t="s">
        <v>256</v>
      </c>
      <c r="E19" s="103">
        <f>E18-E17</f>
        <v>277586.67039999971</v>
      </c>
      <c r="F19" s="103"/>
    </row>
    <row r="20" spans="3:6" x14ac:dyDescent="0.35">
      <c r="C20" s="103"/>
      <c r="D20" s="103"/>
      <c r="E20" s="103"/>
      <c r="F20" s="103"/>
    </row>
    <row r="21" spans="3:6" x14ac:dyDescent="0.35">
      <c r="C21" s="103"/>
      <c r="D21" s="103"/>
      <c r="E21" s="103"/>
      <c r="F21" s="103"/>
    </row>
    <row r="22" spans="3:6" x14ac:dyDescent="0.35">
      <c r="C22" s="103"/>
      <c r="D22" s="103"/>
      <c r="E22" s="103"/>
      <c r="F22" s="103"/>
    </row>
  </sheetData>
  <mergeCells count="2">
    <mergeCell ref="C17:D17"/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urce xmlns="72752097-f39f-4c19-bedc-9b3cc3d254d4">
      <Url xsi:nil="true"/>
      <Description xsi:nil="true"/>
    </Source>
    <TaxCatchAll xmlns="58390921-ae61-4c38-a404-4a884284368e" xsi:nil="true"/>
    <lcf76f155ced4ddcb4097134ff3c332f xmlns="72752097-f39f-4c19-bedc-9b3cc3d254d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0772DD346E1F458EE9B230F97E7BB2" ma:contentTypeVersion="45" ma:contentTypeDescription="Create a new document." ma:contentTypeScope="" ma:versionID="98c43fd45a98a1b0acdc8726472d613b">
  <xsd:schema xmlns:xsd="http://www.w3.org/2001/XMLSchema" xmlns:xs="http://www.w3.org/2001/XMLSchema" xmlns:p="http://schemas.microsoft.com/office/2006/metadata/properties" xmlns:ns2="72752097-f39f-4c19-bedc-9b3cc3d254d4" xmlns:ns3="e7e8cb1e-a982-456d-8a2b-ece06b6865cb" xmlns:ns4="4fc4f787-e79f-4cf7-9190-4097e4accde4" xmlns:ns5="58390921-ae61-4c38-a404-4a884284368e" targetNamespace="http://schemas.microsoft.com/office/2006/metadata/properties" ma:root="true" ma:fieldsID="95753f62b2d8894191b55014e350c730" ns2:_="" ns3:_="" ns4:_="" ns5:_="">
    <xsd:import namespace="72752097-f39f-4c19-bedc-9b3cc3d254d4"/>
    <xsd:import namespace="e7e8cb1e-a982-456d-8a2b-ece06b6865cb"/>
    <xsd:import namespace="4fc4f787-e79f-4cf7-9190-4097e4accde4"/>
    <xsd:import namespace="58390921-ae61-4c38-a404-4a88428436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5:TaxCatchAll" minOccurs="0"/>
                <xsd:element ref="ns2:MediaServiceObjectDetectorVersions" minOccurs="0"/>
                <xsd:element ref="ns2:MediaLengthInSeconds" minOccurs="0"/>
                <xsd:element ref="ns2:Sourc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52097-f39f-4c19-bedc-9b3cc3d254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46f2b67-f782-41c2-b7d6-d1cb8d24c1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Source" ma:index="25" nillable="true" ma:displayName="Source" ma:description="The link to original source if originated from non-Bluestone assets." ma:format="Hyperlink" ma:internalName="Sourc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e8cb1e-a982-456d-8a2b-ece06b6865cb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c4f787-e79f-4cf7-9190-4097e4accde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390921-ae61-4c38-a404-4a884284368e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fa5f5a22-18a2-43da-bc1d-9c7699d5940f}" ma:internalName="TaxCatchAll" ma:showField="CatchAllData" ma:web="58390921-ae61-4c38-a404-4a88428436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9F3B45-72F4-482E-A363-C94DD03E599D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72752097-f39f-4c19-bedc-9b3cc3d254d4"/>
    <ds:schemaRef ds:uri="http://schemas.openxmlformats.org/package/2006/metadata/core-properties"/>
    <ds:schemaRef ds:uri="58390921-ae61-4c38-a404-4a884284368e"/>
    <ds:schemaRef ds:uri="4fc4f787-e79f-4cf7-9190-4097e4accde4"/>
    <ds:schemaRef ds:uri="e7e8cb1e-a982-456d-8a2b-ece06b6865cb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9A309A3-A714-49FE-9F45-3B1437C79A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752097-f39f-4c19-bedc-9b3cc3d254d4"/>
    <ds:schemaRef ds:uri="e7e8cb1e-a982-456d-8a2b-ece06b6865cb"/>
    <ds:schemaRef ds:uri="4fc4f787-e79f-4cf7-9190-4097e4accde4"/>
    <ds:schemaRef ds:uri="58390921-ae61-4c38-a404-4a88428436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397195-6865-47C0-AC09-EDC1679DB5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📋 Instructions</vt:lpstr>
      <vt:lpstr>⚙️ Setup</vt:lpstr>
      <vt:lpstr>📝 Mod Tracker</vt:lpstr>
      <vt:lpstr>💼 Labor Forecast</vt:lpstr>
      <vt:lpstr>📅 Mar</vt:lpstr>
      <vt:lpstr>📅 Apr</vt:lpstr>
      <vt:lpstr>📅 May</vt:lpstr>
      <vt:lpstr>📅 Jun</vt:lpstr>
      <vt:lpstr>📅 Jul</vt:lpstr>
      <vt:lpstr>📅 Aug</vt:lpstr>
      <vt:lpstr>📅 Sep</vt:lpstr>
      <vt:lpstr>📅 Oct</vt:lpstr>
      <vt:lpstr>📅 Nov</vt:lpstr>
      <vt:lpstr>📅 Dec</vt:lpstr>
      <vt:lpstr>📅 Jan</vt:lpstr>
      <vt:lpstr>📅 Feb-E</vt:lpstr>
      <vt:lpstr>📊 Burn Summary</vt:lpstr>
      <vt:lpstr>📈 CLIN Charts</vt:lpstr>
      <vt:lpstr>📊 Overall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Briana Carter</cp:lastModifiedBy>
  <cp:revision>12</cp:revision>
  <dcterms:created xsi:type="dcterms:W3CDTF">2026-03-31T15:44:16Z</dcterms:created>
  <dcterms:modified xsi:type="dcterms:W3CDTF">2026-06-23T23:34:08Z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0x010100AA0772DD346E1F458EE9B230F97E7BB2</vt:lpwstr>
  </property>
  <property fmtid="{D5CDD505-2E9C-101B-9397-08002B2CF9AE}" pid="3" name="MediaServiceImageTags">
    <vt:lpwstr/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2026-06-23T23:34:07Z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74746a74-7b2e-4c58-833a-c421aa37ba65</vt:lpwstr>
  </property>
  <property fmtid="{D5CDD505-2E9C-101B-9397-08002B2CF9AE}" pid="9" name="MSIP_Label_defa4170-0d19-0005-0004-bc88714345d2_ActionId">
    <vt:lpwstr>5ae3b43e-0369-4f5d-bf69-9f68f06a854f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