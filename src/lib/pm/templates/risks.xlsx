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ianaCarter\Downloads\"/>
    </mc:Choice>
  </mc:AlternateContent>
  <xr:revisionPtr revIDLastSave="0" documentId="13_ncr:1_{6E0824A8-FA82-4A6C-8C4A-E0537FBDD9F0}" xr6:coauthVersionLast="47" xr6:coauthVersionMax="47" xr10:uidLastSave="{00000000-0000-0000-0000-000000000000}"/>
  <bookViews>
    <workbookView xWindow="-110" yWindow="-110" windowWidth="19420" windowHeight="11500" tabRatio="500" activeTab="2" xr2:uid="{00000000-000D-0000-FFFF-FFFF00000000}"/>
  </bookViews>
  <sheets>
    <sheet name="Instructions" sheetId="1" r:id="rId1"/>
    <sheet name="Risk Register" sheetId="2" r:id="rId2"/>
    <sheet name="Summary 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3" l="1"/>
  <c r="C20" i="3"/>
  <c r="B20" i="3"/>
  <c r="D19" i="3"/>
  <c r="B19" i="3"/>
  <c r="D18" i="3"/>
  <c r="B18" i="3"/>
  <c r="D17" i="3"/>
  <c r="B17" i="3"/>
  <c r="D16" i="3"/>
  <c r="B16" i="3"/>
  <c r="D15" i="3"/>
  <c r="B15" i="3"/>
  <c r="I9" i="2"/>
  <c r="J9" i="2" s="1"/>
  <c r="C19" i="3" s="1"/>
  <c r="I8" i="2"/>
  <c r="J8" i="2" s="1"/>
  <c r="C15" i="3" s="1"/>
  <c r="I7" i="2"/>
  <c r="J7" i="2" s="1"/>
  <c r="C18" i="3" s="1"/>
  <c r="I6" i="2"/>
  <c r="J6" i="2" s="1"/>
  <c r="C16" i="3" s="1"/>
  <c r="I5" i="2"/>
  <c r="J5" i="2" s="1"/>
  <c r="B9" i="3" l="1"/>
  <c r="B8" i="3"/>
  <c r="E8" i="3" s="1"/>
  <c r="B7" i="3"/>
  <c r="E7" i="3" s="1"/>
  <c r="C17" i="3"/>
  <c r="B6" i="3"/>
  <c r="B10" i="3" l="1"/>
  <c r="E6" i="3"/>
  <c r="C10" i="3" l="1"/>
  <c r="C9" i="3"/>
  <c r="C8" i="3"/>
  <c r="C7" i="3"/>
  <c r="C6" i="3"/>
</calcChain>
</file>

<file path=xl/sharedStrings.xml><?xml version="1.0" encoding="utf-8"?>
<sst xmlns="http://schemas.openxmlformats.org/spreadsheetml/2006/main" count="209" uniqueCount="164">
  <si>
    <t>RISK REGISTER — INSTRUCTIONS &amp; FIELD DEFINITIONS</t>
  </si>
  <si>
    <t>v2.0 Program  •  Program Management Branch</t>
  </si>
  <si>
    <t>FIELD</t>
  </si>
  <si>
    <t>DEFINITION</t>
  </si>
  <si>
    <t>ACCEPTED VALUES / GUIDANCE</t>
  </si>
  <si>
    <t>Risk ID</t>
  </si>
  <si>
    <t>Unique identifier. Format: R-XXX (e.g., R-001). Never reuse an ID.</t>
  </si>
  <si>
    <t>R-001, R-002 …</t>
  </si>
  <si>
    <t>Date Identified</t>
  </si>
  <si>
    <t>Date the risk was first surfaced.</t>
  </si>
  <si>
    <t>MM/DD/YYYY</t>
  </si>
  <si>
    <t>Branch</t>
  </si>
  <si>
    <t>Functional branch where the risk originates.</t>
  </si>
  <si>
    <t>1.0 Program Mgmt / 2.0 Software Dev / 3.0 Security &amp; Compliance / 4.0 Infra &amp; Environment / 5.0 OT&amp;E / 6.0 Fielding &amp; Transition</t>
  </si>
  <si>
    <t>Risk Title</t>
  </si>
  <si>
    <t>Short descriptive title (≤10 words).</t>
  </si>
  <si>
    <t>Free text</t>
  </si>
  <si>
    <t>Risk Description</t>
  </si>
  <si>
    <t>Full narrative of the risk condition and its potential consequence.</t>
  </si>
  <si>
    <t>Free text — be specific about trigger and impact</t>
  </si>
  <si>
    <t>Category</t>
  </si>
  <si>
    <t>Risk type classification.</t>
  </si>
  <si>
    <t>Schedule / Cost / Technical / Security / Resource / Compliance / External</t>
  </si>
  <si>
    <t>Likelihood</t>
  </si>
  <si>
    <t>Probability the risk materializes. Assign 1–5.</t>
  </si>
  <si>
    <t>1=Rare  2=Unlikely  3=Possible  4=Likely  5=Almost Certain</t>
  </si>
  <si>
    <t>Impact</t>
  </si>
  <si>
    <t>Severity of consequence if the risk occurs. Assign 1–5.</t>
  </si>
  <si>
    <t>1=Negligible  2=Minor  3=Moderate  4=Major  5=Critical</t>
  </si>
  <si>
    <t>Risk Score</t>
  </si>
  <si>
    <t>Likelihood × Impact. Calculated automatically.</t>
  </si>
  <si>
    <t>1–25  (formula-driven)</t>
  </si>
  <si>
    <t>Risk Level</t>
  </si>
  <si>
    <t>Derived rating band.</t>
  </si>
  <si>
    <t>Low (1–4) / Medium (5–9) / High (10–16) / Critical (17–25)</t>
  </si>
  <si>
    <t>Risk Owner</t>
  </si>
  <si>
    <t>Individual accountable for monitoring and mitigation.</t>
  </si>
  <si>
    <t>Full name — one person, not a team</t>
  </si>
  <si>
    <t>Mitigation Strategy</t>
  </si>
  <si>
    <t>Actions being taken to reduce likelihood or impact.</t>
  </si>
  <si>
    <t>Free text — be specific and actionable</t>
  </si>
  <si>
    <t>Contingency Plan</t>
  </si>
  <si>
    <t>What we do if the risk materializes despite mitigation.</t>
  </si>
  <si>
    <t>Target Resolution</t>
  </si>
  <si>
    <t>Date by which mitigation should be complete or risk retired.</t>
  </si>
  <si>
    <t>Status</t>
  </si>
  <si>
    <t>Current disposition of the risk.</t>
  </si>
  <si>
    <t>Open / Monitoring / Mitigated / Closed / Escalated</t>
  </si>
  <si>
    <t>Trend</t>
  </si>
  <si>
    <t>Direction of risk over the past reporting period.</t>
  </si>
  <si>
    <t>↑ Increasing / → Stable / ↓ Decreasing</t>
  </si>
  <si>
    <t>Escalate to Customer</t>
  </si>
  <si>
    <t>Does this risk require government customer visibility or decision?</t>
  </si>
  <si>
    <t>Yes / No</t>
  </si>
  <si>
    <t>Last Updated</t>
  </si>
  <si>
    <t>Date this row was last reviewed or modified.</t>
  </si>
  <si>
    <t>Notes</t>
  </si>
  <si>
    <t>Any additional context, decisions made, or links to related items.</t>
  </si>
  <si>
    <t>PROGRAM RISK REGISTER</t>
  </si>
  <si>
    <t>v2.0 Program  •  Owner: Program Management  •  Update cadence: Weekly tag-up</t>
  </si>
  <si>
    <t>Date
Identified</t>
  </si>
  <si>
    <t>Likelihood
(1–5)</t>
  </si>
  <si>
    <t>Impact
(1–5)</t>
  </si>
  <si>
    <t>Risk
Score</t>
  </si>
  <si>
    <t>Target
Resolution</t>
  </si>
  <si>
    <t>Escalate to
Customer</t>
  </si>
  <si>
    <t>Last
Updated</t>
  </si>
  <si>
    <t>R-001</t>
  </si>
  <si>
    <t>06/23/2026</t>
  </si>
  <si>
    <t>3.0 Security &amp; Compliance</t>
  </si>
  <si>
    <t>ATO Timeline Slip</t>
  </si>
  <si>
    <t>RMF package submission may be delayed due to incomplete STIG remediation, potentially blocking deployment at phase gate.</t>
  </si>
  <si>
    <t>Security</t>
  </si>
  <si>
    <t>Security Lead</t>
  </si>
  <si>
    <t>Accelerate STIG remediation sprint; prioritize findings that block ATO submission.</t>
  </si>
  <si>
    <t>Request interim ATO or phased authorization from government AO.</t>
  </si>
  <si>
    <t>09/01/2026</t>
  </si>
  <si>
    <t>Open</t>
  </si>
  <si>
    <t>↑ Increasing</t>
  </si>
  <si>
    <t>Yes</t>
  </si>
  <si>
    <t>Escalated to PM. Weekly check-in with Security lead.</t>
  </si>
  <si>
    <t>R-002</t>
  </si>
  <si>
    <t>2.0 Software Development</t>
  </si>
  <si>
    <t>Technical Debt Accumulation</t>
  </si>
  <si>
    <t>Rapid feature development pace is generating technical debt that may degrade code quality and increase defect rate in later sprints.</t>
  </si>
  <si>
    <t>Technical</t>
  </si>
  <si>
    <t>Dev Lead</t>
  </si>
  <si>
    <t>Allocate 20% of each sprint to debt reduction. Track in technical debt register.</t>
  </si>
  <si>
    <t>Descope lower-priority features in PI planning to create remediation sprint.</t>
  </si>
  <si>
    <t>10/01/2026</t>
  </si>
  <si>
    <t>Monitoring</t>
  </si>
  <si>
    <t>→ Stable</t>
  </si>
  <si>
    <t>No</t>
  </si>
  <si>
    <t>Debt register reviewed bi-weekly.</t>
  </si>
  <si>
    <t>R-003</t>
  </si>
  <si>
    <t>4.0 Infra &amp; Environment</t>
  </si>
  <si>
    <t>GFE Procurement Delay</t>
  </si>
  <si>
    <t>Government-furnished equipment required for production environment has not been procured, risking dev/prod parity and deployment readiness.</t>
  </si>
  <si>
    <t>External</t>
  </si>
  <si>
    <t>Infra Lead</t>
  </si>
  <si>
    <t>Coordinate with government COR on procurement timeline. Identify interim cloud environment to maintain dev continuity.</t>
  </si>
  <si>
    <t>Extend dev environment timeline; adjust phase gate date if GFE not available.</t>
  </si>
  <si>
    <t>08/15/2026</t>
  </si>
  <si>
    <t>COR notified 06/15. Awaiting procurement status.</t>
  </si>
  <si>
    <t>R-004</t>
  </si>
  <si>
    <t>1.0 Program Management</t>
  </si>
  <si>
    <t>Key Personnel Departure</t>
  </si>
  <si>
    <t>Loss of a 1099 SME with deep system knowledge could create a capability gap and slow development velocity.</t>
  </si>
  <si>
    <t>Resource</t>
  </si>
  <si>
    <t>PM</t>
  </si>
  <si>
    <t>Document institutional knowledge. Cross-train team members. Include knowledge transfer in sprint definitions.</t>
  </si>
  <si>
    <t>Activate bench resource. Extend timeline for affected features.</t>
  </si>
  <si>
    <t>Ongoing</t>
  </si>
  <si>
    <t>Knowledge transfer sessions scheduled monthly.</t>
  </si>
  <si>
    <t>R-005</t>
  </si>
  <si>
    <t>5.0 OT&amp;E</t>
  </si>
  <si>
    <t>GAT Entry Criteria Not Met</t>
  </si>
  <si>
    <t>Software increments may fail to meet government acceptance testing entry criteria, requiring rework and delaying OT&amp;E schedule.</t>
  </si>
  <si>
    <t>Schedule</t>
  </si>
  <si>
    <t>OT&amp;E Lead</t>
  </si>
  <si>
    <t>Define and enforce Dev T&amp;E entry criteria that mirror GAT requirements. No release without internal sign-off.</t>
  </si>
  <si>
    <t>Negotiate limited re-test window with government. Descope to stable feature set.</t>
  </si>
  <si>
    <t>Continuous</t>
  </si>
  <si>
    <t>Entry criteria document under development.</t>
  </si>
  <si>
    <t>RISK SUMMARY DASHBOARD</t>
  </si>
  <si>
    <t>Auto-calculated from Risk Register tab  •  Do not edit this sheet directly</t>
  </si>
  <si>
    <t>OPEN RISKS BY LEVEL</t>
  </si>
  <si>
    <t>Count</t>
  </si>
  <si>
    <t>% of Total</t>
  </si>
  <si>
    <t>Threshold</t>
  </si>
  <si>
    <t>Critical</t>
  </si>
  <si>
    <t>0</t>
  </si>
  <si>
    <t>High</t>
  </si>
  <si>
    <t>3</t>
  </si>
  <si>
    <t>Medium</t>
  </si>
  <si>
    <t>8</t>
  </si>
  <si>
    <t>Low</t>
  </si>
  <si>
    <t>—</t>
  </si>
  <si>
    <t>Total Open</t>
  </si>
  <si>
    <t>OPEN RISKS BY BRANCH</t>
  </si>
  <si>
    <t>Open Risks</t>
  </si>
  <si>
    <t>Critical/High</t>
  </si>
  <si>
    <t>Escalated to Customer</t>
  </si>
  <si>
    <t>6.0 Fielding &amp; Transition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</si>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</sst>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color rgb="FF9C0006"/>
      <name val="Arial"/>
      <charset val="1"/>
    </font>
    <font>
      <sz val="10"/>
      <color rgb="FF9C6500"/>
      <name val="Arial"/>
      <charset val="1"/>
    </font>
    <font>
      <sz val="10"/>
      <color rgb="FF276221"/>
      <name val="Arial"/>
      <charset val="1"/>
    </font>
    <font>
      <b/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4D8A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FFCCCC"/>
        <bgColor rgb="FFCCCCCC"/>
      </patternFill>
    </fill>
    <fill>
      <patternFill patternType="solid">
        <fgColor rgb="FFFFEB9C"/>
        <bgColor rgb="FFFFCCCC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9" fontId="9" fillId="7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9" fontId="10" fillId="8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9" fontId="11" fillId="9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2F2F2"/>
          <bgColor rgb="FFD9E1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4D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BDFF3-A435-4CAF-B471-3C0A73666DFB}" name="Table1" displayName="Table1" ref="A1:T9" totalsRowShown="0" headerRowDxfId="0" dataDxfId="1">
  <autoFilter ref="A1:T9" xr:uid="{B72BDFF3-A435-4CAF-B471-3C0A73666DFB}"/>
  <tableColumns count="20">
    <tableColumn id="1" xr3:uid="{90385286-9307-42C1-92F7-EA2567E3A10C}" name="Column1" dataDxfId="20"/>
    <tableColumn id="2" xr3:uid="{0E57C933-E185-4105-A4D9-1C25C6618E49}" name="Column2" dataDxfId="19"/>
    <tableColumn id="3" xr3:uid="{F1ED8BFF-17FB-4E53-94F1-AEE43F3EF32C}" name="Column3" dataDxfId="18"/>
    <tableColumn id="4" xr3:uid="{65E0E0EC-11F6-44B5-A965-899D3E3EC8E2}" name="Column4" dataDxfId="17"/>
    <tableColumn id="5" xr3:uid="{5B6DE271-44F0-4E71-943E-04DA58370CC3}" name="Column5" dataDxfId="16"/>
    <tableColumn id="6" xr3:uid="{09EC5466-4E72-47C0-AF08-7690FAE7F377}" name="Column6" dataDxfId="15"/>
    <tableColumn id="7" xr3:uid="{9653A0CC-1DCB-4644-8914-A0BDC7509E68}" name="Column7" dataDxfId="14"/>
    <tableColumn id="8" xr3:uid="{482BA741-DB71-4FAC-B802-01626D923F1D}" name="Column8" dataDxfId="13"/>
    <tableColumn id="9" xr3:uid="{9C7AAB86-86D3-4600-B919-2156132369C0}" name="Column9" dataDxfId="12">
      <calculatedColumnFormula>G2*H2</calculatedColumnFormula>
    </tableColumn>
    <tableColumn id="10" xr3:uid="{B510CAE9-C653-4460-9CF3-33C9BFA9CC4F}" name="Column10" dataDxfId="11">
      <calculatedColumnFormula>IF(I2&gt;=17,"Critical",IF(I2&gt;=10,"High",IF(I2&gt;=5,"Medium","Low")))</calculatedColumnFormula>
    </tableColumn>
    <tableColumn id="11" xr3:uid="{ACF94418-2C0A-4557-807C-732057EDC05B}" name="Column11" dataDxfId="10"/>
    <tableColumn id="12" xr3:uid="{2913398C-6987-479A-B5AF-16C7BFE94B3F}" name="Column12" dataDxfId="9"/>
    <tableColumn id="13" xr3:uid="{CFF69E46-1B6A-41BF-A69B-5722C2697739}" name="Column13" dataDxfId="8"/>
    <tableColumn id="14" xr3:uid="{3B81F48F-1F8F-42E3-8094-4333D3A577D7}" name="Column14" dataDxfId="7"/>
    <tableColumn id="15" xr3:uid="{EAEA5E03-2999-4EA9-B44F-B8B254232D04}" name="Column15" dataDxfId="6"/>
    <tableColumn id="16" xr3:uid="{F5932A85-F6EC-4450-90A6-B73BA25471B7}" name="Column16" dataDxfId="5"/>
    <tableColumn id="17" xr3:uid="{32D6A5A0-9A90-4A28-A6D8-CBD5098A8D6E}" name="Column17" dataDxfId="4"/>
    <tableColumn id="18" xr3:uid="{88B08A1E-A27E-46B7-A4F7-64A37E8007E1}" name="Column18" dataDxfId="3"/>
    <tableColumn id="19" xr3:uid="{1EB93DA7-C2CD-4027-9F02-EA8084D006D5}" name="Column19" dataDxfId="2"/>
    <tableColumn id="20" xr3:uid="{1BC974BE-E033-47BA-BF1A-119C7172B5A6}" name="Column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zoomScaleNormal="100" workbookViewId="0"/>
  </sheetViews>
  <sheetFormatPr defaultColWidth="8.6328125" defaultRowHeight="14.5" x14ac:dyDescent="0.35"/>
  <cols>
    <col min="1" max="1" width="20" customWidth="1"/>
    <col min="2" max="2" width="42" customWidth="1"/>
    <col min="3" max="3" width="46" customWidth="1"/>
  </cols>
  <sheetData>
    <row r="1" spans="1:8" ht="36" customHeight="1" x14ac:dyDescent="0.35">
      <c r="A1" s="3" t="s">
        <v>0</v>
      </c>
      <c r="B1" s="3"/>
      <c r="C1" s="3"/>
      <c r="D1" s="3"/>
      <c r="E1" s="3"/>
      <c r="F1" s="3"/>
      <c r="G1" s="3"/>
      <c r="H1" s="3"/>
    </row>
    <row r="2" spans="1:8" ht="18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4" spans="1:8" ht="36" customHeight="1" x14ac:dyDescent="0.35">
      <c r="A4" s="6" t="s">
        <v>2</v>
      </c>
      <c r="B4" s="6" t="s">
        <v>3</v>
      </c>
      <c r="C4" s="6" t="s">
        <v>4</v>
      </c>
    </row>
    <row r="5" spans="1:8" ht="30" customHeight="1" x14ac:dyDescent="0.35">
      <c r="A5" s="7" t="s">
        <v>5</v>
      </c>
      <c r="B5" s="7" t="s">
        <v>6</v>
      </c>
      <c r="C5" s="7" t="s">
        <v>7</v>
      </c>
    </row>
    <row r="6" spans="1:8" ht="30" customHeight="1" x14ac:dyDescent="0.35">
      <c r="A6" s="8" t="s">
        <v>8</v>
      </c>
      <c r="B6" s="8" t="s">
        <v>9</v>
      </c>
      <c r="C6" s="8" t="s">
        <v>10</v>
      </c>
    </row>
    <row r="7" spans="1:8" ht="30" customHeight="1" x14ac:dyDescent="0.35">
      <c r="A7" s="7" t="s">
        <v>11</v>
      </c>
      <c r="B7" s="7" t="s">
        <v>12</v>
      </c>
      <c r="C7" s="7" t="s">
        <v>13</v>
      </c>
    </row>
    <row r="8" spans="1:8" ht="30" customHeight="1" x14ac:dyDescent="0.35">
      <c r="A8" s="8" t="s">
        <v>14</v>
      </c>
      <c r="B8" s="8" t="s">
        <v>15</v>
      </c>
      <c r="C8" s="8" t="s">
        <v>16</v>
      </c>
    </row>
    <row r="9" spans="1:8" ht="30" customHeight="1" x14ac:dyDescent="0.35">
      <c r="A9" s="7" t="s">
        <v>17</v>
      </c>
      <c r="B9" s="7" t="s">
        <v>18</v>
      </c>
      <c r="C9" s="7" t="s">
        <v>19</v>
      </c>
    </row>
    <row r="10" spans="1:8" ht="30" customHeight="1" x14ac:dyDescent="0.35">
      <c r="A10" s="8" t="s">
        <v>20</v>
      </c>
      <c r="B10" s="8" t="s">
        <v>21</v>
      </c>
      <c r="C10" s="8" t="s">
        <v>22</v>
      </c>
    </row>
    <row r="11" spans="1:8" ht="30" customHeight="1" x14ac:dyDescent="0.35">
      <c r="A11" s="7" t="s">
        <v>23</v>
      </c>
      <c r="B11" s="7" t="s">
        <v>24</v>
      </c>
      <c r="C11" s="7" t="s">
        <v>25</v>
      </c>
    </row>
    <row r="12" spans="1:8" ht="30" customHeight="1" x14ac:dyDescent="0.35">
      <c r="A12" s="8" t="s">
        <v>26</v>
      </c>
      <c r="B12" s="8" t="s">
        <v>27</v>
      </c>
      <c r="C12" s="8" t="s">
        <v>28</v>
      </c>
    </row>
    <row r="13" spans="1:8" ht="30" customHeight="1" x14ac:dyDescent="0.35">
      <c r="A13" s="7" t="s">
        <v>29</v>
      </c>
      <c r="B13" s="7" t="s">
        <v>30</v>
      </c>
      <c r="C13" s="7" t="s">
        <v>31</v>
      </c>
    </row>
    <row r="14" spans="1:8" ht="30" customHeight="1" x14ac:dyDescent="0.35">
      <c r="A14" s="8" t="s">
        <v>32</v>
      </c>
      <c r="B14" s="8" t="s">
        <v>33</v>
      </c>
      <c r="C14" s="8" t="s">
        <v>34</v>
      </c>
    </row>
    <row r="15" spans="1:8" ht="30" customHeight="1" x14ac:dyDescent="0.35">
      <c r="A15" s="7" t="s">
        <v>35</v>
      </c>
      <c r="B15" s="7" t="s">
        <v>36</v>
      </c>
      <c r="C15" s="7" t="s">
        <v>37</v>
      </c>
    </row>
    <row r="16" spans="1:8" ht="30" customHeight="1" x14ac:dyDescent="0.35">
      <c r="A16" s="8" t="s">
        <v>38</v>
      </c>
      <c r="B16" s="8" t="s">
        <v>39</v>
      </c>
      <c r="C16" s="8" t="s">
        <v>40</v>
      </c>
    </row>
    <row r="17" spans="1:3" ht="30" customHeight="1" x14ac:dyDescent="0.35">
      <c r="A17" s="7" t="s">
        <v>41</v>
      </c>
      <c r="B17" s="7" t="s">
        <v>42</v>
      </c>
      <c r="C17" s="7" t="s">
        <v>16</v>
      </c>
    </row>
    <row r="18" spans="1:3" ht="30" customHeight="1" x14ac:dyDescent="0.35">
      <c r="A18" s="8" t="s">
        <v>43</v>
      </c>
      <c r="B18" s="8" t="s">
        <v>44</v>
      </c>
      <c r="C18" s="8" t="s">
        <v>10</v>
      </c>
    </row>
    <row r="19" spans="1:3" ht="30" customHeight="1" x14ac:dyDescent="0.35">
      <c r="A19" s="7" t="s">
        <v>45</v>
      </c>
      <c r="B19" s="7" t="s">
        <v>46</v>
      </c>
      <c r="C19" s="7" t="s">
        <v>47</v>
      </c>
    </row>
    <row r="20" spans="1:3" ht="30" customHeight="1" x14ac:dyDescent="0.35">
      <c r="A20" s="8" t="s">
        <v>48</v>
      </c>
      <c r="B20" s="8" t="s">
        <v>49</v>
      </c>
      <c r="C20" s="8" t="s">
        <v>50</v>
      </c>
    </row>
    <row r="21" spans="1:3" ht="30" customHeight="1" x14ac:dyDescent="0.35">
      <c r="A21" s="7" t="s">
        <v>51</v>
      </c>
      <c r="B21" s="7" t="s">
        <v>52</v>
      </c>
      <c r="C21" s="7" t="s">
        <v>53</v>
      </c>
    </row>
    <row r="22" spans="1:3" ht="30" customHeight="1" x14ac:dyDescent="0.35">
      <c r="A22" s="8" t="s">
        <v>54</v>
      </c>
      <c r="B22" s="8" t="s">
        <v>55</v>
      </c>
      <c r="C22" s="8" t="s">
        <v>10</v>
      </c>
    </row>
    <row r="23" spans="1:3" ht="30" customHeight="1" x14ac:dyDescent="0.35">
      <c r="A23" s="7" t="s">
        <v>56</v>
      </c>
      <c r="B23" s="7" t="s">
        <v>57</v>
      </c>
      <c r="C23" s="7" t="s">
        <v>16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showGridLines="0" zoomScaleNormal="100" workbookViewId="0">
      <pane ySplit="3" topLeftCell="A4" activePane="bottomLeft" state="frozen"/>
      <selection pane="bottomLeft" activeCell="C8" sqref="C8"/>
    </sheetView>
  </sheetViews>
  <sheetFormatPr defaultColWidth="8.6328125" defaultRowHeight="14.5" x14ac:dyDescent="0.35"/>
  <cols>
    <col min="1" max="2" width="13.81640625" customWidth="1"/>
    <col min="3" max="3" width="22" customWidth="1"/>
    <col min="4" max="4" width="24" customWidth="1"/>
    <col min="5" max="5" width="42" customWidth="1"/>
    <col min="6" max="6" width="16" customWidth="1"/>
    <col min="7" max="9" width="13.81640625" customWidth="1"/>
    <col min="10" max="10" width="15.26953125" customWidth="1"/>
    <col min="11" max="11" width="18" customWidth="1"/>
    <col min="12" max="12" width="40" customWidth="1"/>
    <col min="13" max="13" width="36" customWidth="1"/>
    <col min="14" max="18" width="15.26953125" customWidth="1"/>
    <col min="19" max="19" width="36" customWidth="1"/>
    <col min="20" max="20" width="15.26953125" customWidth="1"/>
  </cols>
  <sheetData>
    <row r="1" spans="1:20" ht="36" customHeight="1" x14ac:dyDescent="0.35">
      <c r="A1" s="4" t="s">
        <v>144</v>
      </c>
      <c r="B1" s="4" t="s">
        <v>145</v>
      </c>
      <c r="C1" s="4" t="s">
        <v>146</v>
      </c>
      <c r="D1" s="4" t="s">
        <v>147</v>
      </c>
      <c r="E1" s="4" t="s">
        <v>148</v>
      </c>
      <c r="F1" s="4" t="s">
        <v>149</v>
      </c>
      <c r="G1" s="4" t="s">
        <v>150</v>
      </c>
      <c r="H1" s="4" t="s">
        <v>151</v>
      </c>
      <c r="I1" s="4" t="s">
        <v>152</v>
      </c>
      <c r="J1" s="4" t="s">
        <v>153</v>
      </c>
      <c r="K1" s="4" t="s">
        <v>154</v>
      </c>
      <c r="L1" s="4" t="s">
        <v>155</v>
      </c>
      <c r="M1" s="4" t="s">
        <v>156</v>
      </c>
      <c r="N1" s="4" t="s">
        <v>157</v>
      </c>
      <c r="O1" s="4" t="s">
        <v>158</v>
      </c>
      <c r="P1" s="4" t="s">
        <v>159</v>
      </c>
      <c r="Q1" s="4" t="s">
        <v>160</v>
      </c>
      <c r="R1" s="4" t="s">
        <v>161</v>
      </c>
      <c r="S1" s="4" t="s">
        <v>162</v>
      </c>
      <c r="T1" s="4" t="s">
        <v>163</v>
      </c>
    </row>
    <row r="2" spans="1:20" ht="18" customHeight="1" x14ac:dyDescent="0.35">
      <c r="A2" s="4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36" customHeight="1" x14ac:dyDescent="0.35">
      <c r="A3" s="5" t="s">
        <v>59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39.75" customHeight="1" x14ac:dyDescent="0.35">
      <c r="A4" s="9" t="s">
        <v>5</v>
      </c>
      <c r="B4" s="9" t="s">
        <v>60</v>
      </c>
      <c r="C4" s="9" t="s">
        <v>11</v>
      </c>
      <c r="D4" s="9" t="s">
        <v>14</v>
      </c>
      <c r="E4" s="9" t="s">
        <v>17</v>
      </c>
      <c r="F4" s="9" t="s">
        <v>20</v>
      </c>
      <c r="G4" s="9" t="s">
        <v>61</v>
      </c>
      <c r="H4" s="9" t="s">
        <v>62</v>
      </c>
      <c r="I4" s="9" t="s">
        <v>63</v>
      </c>
      <c r="J4" s="9" t="s">
        <v>32</v>
      </c>
      <c r="K4" s="9" t="s">
        <v>35</v>
      </c>
      <c r="L4" s="9" t="s">
        <v>38</v>
      </c>
      <c r="M4" s="9" t="s">
        <v>41</v>
      </c>
      <c r="N4" s="9" t="s">
        <v>64</v>
      </c>
      <c r="O4" s="9" t="s">
        <v>45</v>
      </c>
      <c r="P4" s="9" t="s">
        <v>48</v>
      </c>
      <c r="Q4" s="9" t="s">
        <v>65</v>
      </c>
      <c r="R4" s="9" t="s">
        <v>66</v>
      </c>
      <c r="S4" s="9" t="s">
        <v>56</v>
      </c>
    </row>
    <row r="5" spans="1:20" ht="39.75" customHeight="1" x14ac:dyDescent="0.35">
      <c r="A5" s="10" t="s">
        <v>67</v>
      </c>
      <c r="B5" s="10" t="s">
        <v>68</v>
      </c>
      <c r="C5" s="10" t="s">
        <v>69</v>
      </c>
      <c r="D5" s="10" t="s">
        <v>70</v>
      </c>
      <c r="E5" s="10" t="s">
        <v>71</v>
      </c>
      <c r="F5" s="10" t="s">
        <v>72</v>
      </c>
      <c r="G5" s="10">
        <v>4</v>
      </c>
      <c r="H5" s="10">
        <v>5</v>
      </c>
      <c r="I5" s="11">
        <f>G5*H5</f>
        <v>20</v>
      </c>
      <c r="J5" s="10" t="str">
        <f>IF(I5&gt;=17,"Critical",IF(I5&gt;=10,"High",IF(I5&gt;=5,"Medium","Low")))</f>
        <v>Critical</v>
      </c>
      <c r="K5" s="10" t="s">
        <v>73</v>
      </c>
      <c r="L5" s="10" t="s">
        <v>74</v>
      </c>
      <c r="M5" s="10" t="s">
        <v>75</v>
      </c>
      <c r="N5" s="10" t="s">
        <v>76</v>
      </c>
      <c r="O5" s="10" t="s">
        <v>77</v>
      </c>
      <c r="P5" s="10" t="s">
        <v>78</v>
      </c>
      <c r="Q5" s="10" t="s">
        <v>79</v>
      </c>
      <c r="R5" s="10" t="s">
        <v>68</v>
      </c>
      <c r="S5" s="10" t="s">
        <v>80</v>
      </c>
    </row>
    <row r="6" spans="1:20" ht="39.75" customHeight="1" x14ac:dyDescent="0.35">
      <c r="A6" s="12" t="s">
        <v>81</v>
      </c>
      <c r="B6" s="12" t="s">
        <v>68</v>
      </c>
      <c r="C6" s="12" t="s">
        <v>82</v>
      </c>
      <c r="D6" s="12" t="s">
        <v>83</v>
      </c>
      <c r="E6" s="12" t="s">
        <v>84</v>
      </c>
      <c r="F6" s="12" t="s">
        <v>85</v>
      </c>
      <c r="G6" s="12">
        <v>3</v>
      </c>
      <c r="H6" s="12">
        <v>3</v>
      </c>
      <c r="I6" s="13">
        <f>G6*H6</f>
        <v>9</v>
      </c>
      <c r="J6" s="12" t="str">
        <f>IF(I6&gt;=17,"Critical",IF(I6&gt;=10,"High",IF(I6&gt;=5,"Medium","Low")))</f>
        <v>Medium</v>
      </c>
      <c r="K6" s="12" t="s">
        <v>86</v>
      </c>
      <c r="L6" s="12" t="s">
        <v>87</v>
      </c>
      <c r="M6" s="12" t="s">
        <v>88</v>
      </c>
      <c r="N6" s="12" t="s">
        <v>89</v>
      </c>
      <c r="O6" s="12" t="s">
        <v>90</v>
      </c>
      <c r="P6" s="12" t="s">
        <v>91</v>
      </c>
      <c r="Q6" s="12" t="s">
        <v>92</v>
      </c>
      <c r="R6" s="12" t="s">
        <v>68</v>
      </c>
      <c r="S6" s="12" t="s">
        <v>93</v>
      </c>
    </row>
    <row r="7" spans="1:20" ht="39.75" customHeight="1" x14ac:dyDescent="0.35">
      <c r="A7" s="10" t="s">
        <v>94</v>
      </c>
      <c r="B7" s="10" t="s">
        <v>68</v>
      </c>
      <c r="C7" s="10" t="s">
        <v>95</v>
      </c>
      <c r="D7" s="10" t="s">
        <v>96</v>
      </c>
      <c r="E7" s="10" t="s">
        <v>97</v>
      </c>
      <c r="F7" s="10" t="s">
        <v>98</v>
      </c>
      <c r="G7" s="10">
        <v>3</v>
      </c>
      <c r="H7" s="10">
        <v>4</v>
      </c>
      <c r="I7" s="11">
        <f>G7*H7</f>
        <v>12</v>
      </c>
      <c r="J7" s="10" t="str">
        <f>IF(I7&gt;=17,"Critical",IF(I7&gt;=10,"High",IF(I7&gt;=5,"Medium","Low")))</f>
        <v>High</v>
      </c>
      <c r="K7" s="10" t="s">
        <v>99</v>
      </c>
      <c r="L7" s="10" t="s">
        <v>100</v>
      </c>
      <c r="M7" s="10" t="s">
        <v>101</v>
      </c>
      <c r="N7" s="10" t="s">
        <v>102</v>
      </c>
      <c r="O7" s="10" t="s">
        <v>77</v>
      </c>
      <c r="P7" s="10" t="s">
        <v>91</v>
      </c>
      <c r="Q7" s="10" t="s">
        <v>79</v>
      </c>
      <c r="R7" s="10" t="s">
        <v>68</v>
      </c>
      <c r="S7" s="10" t="s">
        <v>103</v>
      </c>
    </row>
    <row r="8" spans="1:20" ht="39.75" customHeight="1" x14ac:dyDescent="0.35">
      <c r="A8" s="12" t="s">
        <v>104</v>
      </c>
      <c r="B8" s="12" t="s">
        <v>68</v>
      </c>
      <c r="C8" s="12" t="s">
        <v>105</v>
      </c>
      <c r="D8" s="12" t="s">
        <v>106</v>
      </c>
      <c r="E8" s="12" t="s">
        <v>107</v>
      </c>
      <c r="F8" s="12" t="s">
        <v>108</v>
      </c>
      <c r="G8" s="12">
        <v>2</v>
      </c>
      <c r="H8" s="12">
        <v>4</v>
      </c>
      <c r="I8" s="13">
        <f>G8*H8</f>
        <v>8</v>
      </c>
      <c r="J8" s="12" t="str">
        <f>IF(I8&gt;=17,"Critical",IF(I8&gt;=10,"High",IF(I8&gt;=5,"Medium","Low")))</f>
        <v>Medium</v>
      </c>
      <c r="K8" s="12" t="s">
        <v>109</v>
      </c>
      <c r="L8" s="12" t="s">
        <v>110</v>
      </c>
      <c r="M8" s="12" t="s">
        <v>111</v>
      </c>
      <c r="N8" s="12" t="s">
        <v>112</v>
      </c>
      <c r="O8" s="12" t="s">
        <v>90</v>
      </c>
      <c r="P8" s="12" t="s">
        <v>91</v>
      </c>
      <c r="Q8" s="12" t="s">
        <v>92</v>
      </c>
      <c r="R8" s="12" t="s">
        <v>68</v>
      </c>
      <c r="S8" s="12" t="s">
        <v>113</v>
      </c>
    </row>
    <row r="9" spans="1:20" ht="37.5" x14ac:dyDescent="0.35">
      <c r="A9" s="10" t="s">
        <v>114</v>
      </c>
      <c r="B9" s="10" t="s">
        <v>68</v>
      </c>
      <c r="C9" s="10" t="s">
        <v>115</v>
      </c>
      <c r="D9" s="10" t="s">
        <v>116</v>
      </c>
      <c r="E9" s="10" t="s">
        <v>117</v>
      </c>
      <c r="F9" s="10" t="s">
        <v>118</v>
      </c>
      <c r="G9" s="10">
        <v>3</v>
      </c>
      <c r="H9" s="10">
        <v>4</v>
      </c>
      <c r="I9" s="11">
        <f>G9*H9</f>
        <v>12</v>
      </c>
      <c r="J9" s="10" t="str">
        <f>IF(I9&gt;=17,"Critical",IF(I9&gt;=10,"High",IF(I9&gt;=5,"Medium","Low")))</f>
        <v>High</v>
      </c>
      <c r="K9" s="10" t="s">
        <v>119</v>
      </c>
      <c r="L9" s="10" t="s">
        <v>120</v>
      </c>
      <c r="M9" s="10" t="s">
        <v>121</v>
      </c>
      <c r="N9" s="10" t="s">
        <v>122</v>
      </c>
      <c r="O9" s="10" t="s">
        <v>77</v>
      </c>
      <c r="P9" s="10" t="s">
        <v>91</v>
      </c>
      <c r="Q9" s="10" t="s">
        <v>79</v>
      </c>
      <c r="R9" s="10" t="s">
        <v>68</v>
      </c>
      <c r="S9" s="10" t="s">
        <v>123</v>
      </c>
    </row>
  </sheetData>
  <conditionalFormatting sqref="J5:J1001">
    <cfRule type="expression" dxfId="23" priority="2">
      <formula>J5="Critical"</formula>
    </cfRule>
    <cfRule type="expression" dxfId="22" priority="3">
      <formula>J5="High"</formula>
    </cfRule>
    <cfRule type="expression" dxfId="21" priority="4">
      <formula>J5="Medium"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tabSelected="1" topLeftCell="A8" zoomScaleNormal="100" workbookViewId="0">
      <selection activeCell="H19" sqref="H19"/>
    </sheetView>
  </sheetViews>
  <sheetFormatPr defaultColWidth="8.6328125" defaultRowHeight="14.5" x14ac:dyDescent="0.35"/>
  <cols>
    <col min="1" max="1" width="30" customWidth="1"/>
    <col min="2" max="2" width="14" customWidth="1"/>
    <col min="3" max="3" width="16" customWidth="1"/>
    <col min="4" max="4" width="22" customWidth="1"/>
  </cols>
  <sheetData>
    <row r="1" spans="1:6" ht="36" customHeight="1" x14ac:dyDescent="0.35">
      <c r="A1" s="3" t="s">
        <v>124</v>
      </c>
      <c r="B1" s="3"/>
      <c r="C1" s="3"/>
      <c r="D1" s="3"/>
      <c r="E1" s="3"/>
      <c r="F1" s="3"/>
    </row>
    <row r="2" spans="1:6" ht="18" customHeight="1" x14ac:dyDescent="0.35">
      <c r="A2" s="2" t="s">
        <v>125</v>
      </c>
      <c r="B2" s="2"/>
      <c r="C2" s="2"/>
      <c r="D2" s="2"/>
      <c r="E2" s="2"/>
      <c r="F2" s="2"/>
    </row>
    <row r="4" spans="1:6" ht="24" customHeight="1" x14ac:dyDescent="0.35">
      <c r="A4" s="1" t="s">
        <v>126</v>
      </c>
      <c r="B4" s="1"/>
      <c r="C4" s="1"/>
      <c r="D4" s="1"/>
      <c r="E4" s="1"/>
      <c r="F4" s="1"/>
    </row>
    <row r="5" spans="1:6" ht="24" customHeight="1" x14ac:dyDescent="0.35">
      <c r="A5" s="9" t="s">
        <v>32</v>
      </c>
      <c r="B5" s="9" t="s">
        <v>127</v>
      </c>
      <c r="C5" s="9" t="s">
        <v>128</v>
      </c>
      <c r="D5" s="9" t="s">
        <v>129</v>
      </c>
      <c r="E5" s="9" t="s">
        <v>45</v>
      </c>
    </row>
    <row r="6" spans="1:6" ht="21.75" customHeight="1" x14ac:dyDescent="0.35">
      <c r="A6" s="14" t="s">
        <v>130</v>
      </c>
      <c r="B6" s="14">
        <f>COUNTIFS('Risk Register'!J:J,"Critical",'Risk Register'!O:O,"&lt;&gt;Closed")</f>
        <v>1</v>
      </c>
      <c r="C6" s="15">
        <f>IF(B10&gt;0,B6/B10,0)</f>
        <v>0.2</v>
      </c>
      <c r="D6" s="14" t="s">
        <v>131</v>
      </c>
      <c r="E6" s="14" t="str">
        <f>IF(B6&gt;D6,"EXCEEDED","OK")</f>
        <v>OK</v>
      </c>
    </row>
    <row r="7" spans="1:6" ht="21.75" customHeight="1" x14ac:dyDescent="0.35">
      <c r="A7" s="16" t="s">
        <v>132</v>
      </c>
      <c r="B7" s="16">
        <f>COUNTIFS('Risk Register'!J:J,"High",'Risk Register'!O:O,"&lt;&gt;Closed")</f>
        <v>2</v>
      </c>
      <c r="C7" s="17">
        <f>IF(B10&gt;0,B7/B10,0)</f>
        <v>0.4</v>
      </c>
      <c r="D7" s="16" t="s">
        <v>133</v>
      </c>
      <c r="E7" s="16" t="str">
        <f>IF(B7&gt;D7,"EXCEEDED","OK")</f>
        <v>OK</v>
      </c>
    </row>
    <row r="8" spans="1:6" ht="21.75" customHeight="1" x14ac:dyDescent="0.35">
      <c r="A8" s="18" t="s">
        <v>134</v>
      </c>
      <c r="B8" s="18">
        <f>COUNTIFS('Risk Register'!J:J,"Medium",'Risk Register'!O:O,"&lt;&gt;Closed")</f>
        <v>2</v>
      </c>
      <c r="C8" s="19">
        <f>IF(B10&gt;0,B8/B10,0)</f>
        <v>0.4</v>
      </c>
      <c r="D8" s="18" t="s">
        <v>135</v>
      </c>
      <c r="E8" s="18" t="str">
        <f>IF(B8&gt;D8,"EXCEEDED","OK")</f>
        <v>OK</v>
      </c>
    </row>
    <row r="9" spans="1:6" ht="21.75" customHeight="1" x14ac:dyDescent="0.35">
      <c r="A9" s="20" t="s">
        <v>136</v>
      </c>
      <c r="B9" s="20">
        <f>COUNTIFS('Risk Register'!J:J,"Low",'Risk Register'!O:O,"&lt;&gt;Closed")</f>
        <v>0</v>
      </c>
      <c r="C9" s="21">
        <f>IF(B10&gt;0,B9/B10,0)</f>
        <v>0</v>
      </c>
      <c r="D9" s="20" t="s">
        <v>137</v>
      </c>
      <c r="E9" s="20" t="s">
        <v>137</v>
      </c>
    </row>
    <row r="10" spans="1:6" ht="21.75" customHeight="1" x14ac:dyDescent="0.35">
      <c r="A10" s="22" t="s">
        <v>138</v>
      </c>
      <c r="B10" s="22">
        <f>SUM(B6:B9)</f>
        <v>5</v>
      </c>
      <c r="C10" s="23">
        <f>IF(B10&gt;0,B10/B10,0)</f>
        <v>1</v>
      </c>
      <c r="D10" s="22" t="s">
        <v>137</v>
      </c>
      <c r="E10" s="22" t="s">
        <v>137</v>
      </c>
    </row>
    <row r="13" spans="1:6" ht="24" customHeight="1" x14ac:dyDescent="0.35">
      <c r="A13" s="1" t="s">
        <v>139</v>
      </c>
      <c r="B13" s="1"/>
      <c r="C13" s="1"/>
      <c r="D13" s="1"/>
      <c r="E13" s="1"/>
      <c r="F13" s="1"/>
    </row>
    <row r="14" spans="1:6" ht="24" customHeight="1" x14ac:dyDescent="0.35">
      <c r="A14" s="9" t="s">
        <v>11</v>
      </c>
      <c r="B14" s="9" t="s">
        <v>140</v>
      </c>
      <c r="C14" s="9" t="s">
        <v>141</v>
      </c>
      <c r="D14" s="9" t="s">
        <v>142</v>
      </c>
    </row>
    <row r="15" spans="1:6" ht="21.75" customHeight="1" x14ac:dyDescent="0.35">
      <c r="A15" s="24" t="s">
        <v>105</v>
      </c>
      <c r="B15" s="24">
        <f>COUNTIFS('Risk Register'!C:C,A15,'Risk Register'!O:O,"&lt;&gt;Closed")</f>
        <v>1</v>
      </c>
      <c r="C15" s="24">
        <f>COUNTIFS('Risk Register'!C:C,A15,'Risk Register'!J:J,"Critical",'Risk Register'!O:O,"&lt;&gt;Closed")+COUNTIFS('Risk Register'!C:C,A15,'Risk Register'!J:J,"High",'Risk Register'!O:O,"&lt;&gt;Closed")</f>
        <v>0</v>
      </c>
      <c r="D15" s="24">
        <f>COUNTIFS('Risk Register'!C:C,A15,'Risk Register'!Q:Q,"Yes",'Risk Register'!O:O,"&lt;&gt;Closed")</f>
        <v>0</v>
      </c>
    </row>
    <row r="16" spans="1:6" ht="21.75" customHeight="1" x14ac:dyDescent="0.35">
      <c r="A16" s="25" t="s">
        <v>82</v>
      </c>
      <c r="B16" s="25">
        <f>COUNTIFS('Risk Register'!C:C,A16,'Risk Register'!O:O,"&lt;&gt;Closed")</f>
        <v>1</v>
      </c>
      <c r="C16" s="25">
        <f>COUNTIFS('Risk Register'!C:C,A16,'Risk Register'!J:J,"Critical",'Risk Register'!O:O,"&lt;&gt;Closed")+COUNTIFS('Risk Register'!C:C,A16,'Risk Register'!J:J,"High",'Risk Register'!O:O,"&lt;&gt;Closed")</f>
        <v>0</v>
      </c>
      <c r="D16" s="25">
        <f>COUNTIFS('Risk Register'!C:C,A16,'Risk Register'!Q:Q,"Yes",'Risk Register'!O:O,"&lt;&gt;Closed")</f>
        <v>0</v>
      </c>
    </row>
    <row r="17" spans="1:4" ht="21.75" customHeight="1" x14ac:dyDescent="0.35">
      <c r="A17" s="24" t="s">
        <v>69</v>
      </c>
      <c r="B17" s="24">
        <f>COUNTIFS('Risk Register'!C:C,A17,'Risk Register'!O:O,"&lt;&gt;Closed")</f>
        <v>1</v>
      </c>
      <c r="C17" s="24">
        <f>COUNTIFS('Risk Register'!C:C,A17,'Risk Register'!J:J,"Critical",'Risk Register'!O:O,"&lt;&gt;Closed")+COUNTIFS('Risk Register'!C:C,A17,'Risk Register'!J:J,"High",'Risk Register'!O:O,"&lt;&gt;Closed")</f>
        <v>1</v>
      </c>
      <c r="D17" s="24">
        <f>COUNTIFS('Risk Register'!C:C,A17,'Risk Register'!Q:Q,"Yes",'Risk Register'!O:O,"&lt;&gt;Closed")</f>
        <v>1</v>
      </c>
    </row>
    <row r="18" spans="1:4" ht="21.75" customHeight="1" x14ac:dyDescent="0.35">
      <c r="A18" s="25" t="s">
        <v>95</v>
      </c>
      <c r="B18" s="25">
        <f>COUNTIFS('Risk Register'!C:C,A18,'Risk Register'!O:O,"&lt;&gt;Closed")</f>
        <v>1</v>
      </c>
      <c r="C18" s="25">
        <f>COUNTIFS('Risk Register'!C:C,A18,'Risk Register'!J:J,"Critical",'Risk Register'!O:O,"&lt;&gt;Closed")+COUNTIFS('Risk Register'!C:C,A18,'Risk Register'!J:J,"High",'Risk Register'!O:O,"&lt;&gt;Closed")</f>
        <v>1</v>
      </c>
      <c r="D18" s="25">
        <f>COUNTIFS('Risk Register'!C:C,A18,'Risk Register'!Q:Q,"Yes",'Risk Register'!O:O,"&lt;&gt;Closed")</f>
        <v>1</v>
      </c>
    </row>
    <row r="19" spans="1:4" ht="21.75" customHeight="1" x14ac:dyDescent="0.35">
      <c r="A19" s="24" t="s">
        <v>115</v>
      </c>
      <c r="B19" s="24">
        <f>COUNTIFS('Risk Register'!C:C,A19,'Risk Register'!O:O,"&lt;&gt;Closed")</f>
        <v>1</v>
      </c>
      <c r="C19" s="24">
        <f>COUNTIFS('Risk Register'!C:C,A19,'Risk Register'!J:J,"Critical",'Risk Register'!O:O,"&lt;&gt;Closed")+COUNTIFS('Risk Register'!C:C,A19,'Risk Register'!J:J,"High",'Risk Register'!O:O,"&lt;&gt;Closed")</f>
        <v>1</v>
      </c>
      <c r="D19" s="24">
        <f>COUNTIFS('Risk Register'!C:C,A19,'Risk Register'!Q:Q,"Yes",'Risk Register'!O:O,"&lt;&gt;Closed")</f>
        <v>1</v>
      </c>
    </row>
    <row r="20" spans="1:4" ht="21.75" customHeight="1" x14ac:dyDescent="0.35">
      <c r="A20" s="25" t="s">
        <v>143</v>
      </c>
      <c r="B20" s="25">
        <f>COUNTIFS('Risk Register'!C:C,A20,'Risk Register'!O:O,"&lt;&gt;Closed")</f>
        <v>0</v>
      </c>
      <c r="C20" s="25">
        <f>COUNTIFS('Risk Register'!C:C,A20,'Risk Register'!J:J,"Critical",'Risk Register'!O:O,"&lt;&gt;Closed")+COUNTIFS('Risk Register'!C:C,A20,'Risk Register'!J:J,"High",'Risk Register'!O:O,"&lt;&gt;Closed")</f>
        <v>0</v>
      </c>
      <c r="D20" s="25">
        <f>COUNTIFS('Risk Register'!C:C,A20,'Risk Register'!Q:Q,"Yes",'Risk Register'!O:O,"&lt;&gt;Closed")</f>
        <v>0</v>
      </c>
    </row>
  </sheetData>
  <mergeCells count="4">
    <mergeCell ref="A1:F1"/>
    <mergeCell ref="A2:F2"/>
    <mergeCell ref="A4:F4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Risk Register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Briana Carter</cp:lastModifiedBy>
  <cp:revision>0</cp:revision>
  <dcterms:created xsi:type="dcterms:W3CDTF">2026-06-23T23:37:47Z</dcterms:created>
  <dcterms:modified xsi:type="dcterms:W3CDTF">2026-06-24T03:48:25Z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2026-06-24T03:48:25Z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74746a74-7b2e-4c58-833a-c421aa37ba65</vt:lpwstr>
  </property>
  <property fmtid="{D5CDD505-2E9C-101B-9397-08002B2CF9AE}" pid="7" name="MSIP_Label_defa4170-0d19-0005-0004-bc88714345d2_ActionId">
    <vt:lpwstr>c59d6f15-c1b0-459d-a36e-f3e675f28951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