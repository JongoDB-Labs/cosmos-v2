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rianaCarter\Downloads\"/>
    </mc:Choice>
  </mc:AlternateContent>
  <xr:revisionPtr revIDLastSave="0" documentId="8_{D3970882-BDA3-4AC1-B953-8D6DC7FCE69E}" xr6:coauthVersionLast="47" xr6:coauthVersionMax="47" xr10:uidLastSave="{00000000-0000-0000-0000-000000000000}"/>
  <bookViews>
    <workbookView xWindow="-110" yWindow="-110" windowWidth="19420" windowHeight="11500" tabRatio="791" xr2:uid="{00000000-000D-0000-FFFF-FFFF00000000}"/>
  </bookViews>
  <sheets>
    <sheet name="Instructions" sheetId="1" r:id="rId1"/>
    <sheet name="Vendor Register" sheetId="2" r:id="rId2"/>
    <sheet name="Mod Log" sheetId="3" r:id="rId3"/>
    <sheet name="Invoice Log" sheetId="4" r:id="rId4"/>
    <sheet name="License &amp; Subscription Register" sheetId="5" r:id="rId5"/>
    <sheet name="Summary Dashboard" sheetId="6"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7" i="4" l="1"/>
  <c r="I11" i="2"/>
  <c r="I10" i="2"/>
  <c r="I9" i="2"/>
  <c r="I8" i="2"/>
  <c r="I7" i="2"/>
  <c r="I6" i="2"/>
  <c r="I5" i="2"/>
  <c r="P4" i="2"/>
  <c r="D17" i="6" s="1"/>
  <c r="P5" i="2"/>
  <c r="P6" i="2"/>
  <c r="P7" i="2"/>
  <c r="P8" i="2"/>
  <c r="P9" i="2"/>
  <c r="P10" i="2"/>
  <c r="P11" i="2"/>
  <c r="O11" i="2"/>
  <c r="Q11" i="2"/>
  <c r="F33" i="6"/>
  <c r="E32" i="6"/>
  <c r="E31" i="6"/>
  <c r="F27" i="6"/>
  <c r="F26" i="6"/>
  <c r="B21" i="6"/>
  <c r="A21" i="6"/>
  <c r="B20" i="6"/>
  <c r="A20" i="6"/>
  <c r="B19" i="6"/>
  <c r="A19" i="6"/>
  <c r="B18" i="6"/>
  <c r="A18" i="6"/>
  <c r="G17" i="6"/>
  <c r="F17" i="6"/>
  <c r="E17" i="6"/>
  <c r="C17" i="6"/>
  <c r="B17" i="6"/>
  <c r="A17" i="6"/>
  <c r="B13" i="6"/>
  <c r="L12" i="5"/>
  <c r="L11" i="5"/>
  <c r="L10" i="5"/>
  <c r="L9" i="5"/>
  <c r="L8" i="5"/>
  <c r="L7" i="5"/>
  <c r="L6" i="5"/>
  <c r="L5" i="5"/>
  <c r="L4" i="5"/>
  <c r="J18" i="4"/>
  <c r="J16" i="4"/>
  <c r="J15" i="4"/>
  <c r="J14" i="4"/>
  <c r="J13" i="4"/>
  <c r="J12" i="4"/>
  <c r="J11" i="4"/>
  <c r="J10" i="4"/>
  <c r="J9" i="4"/>
  <c r="J8" i="4"/>
  <c r="J7" i="4"/>
  <c r="J6" i="4"/>
  <c r="J5" i="4"/>
  <c r="J4" i="4"/>
  <c r="Q10" i="2"/>
  <c r="O10" i="2"/>
  <c r="T10" i="2" s="1"/>
  <c r="Q9" i="2"/>
  <c r="S9" i="2" s="1"/>
  <c r="O9" i="2"/>
  <c r="T9" i="2" s="1"/>
  <c r="Q8" i="2"/>
  <c r="E21" i="6" s="1"/>
  <c r="O8" i="2"/>
  <c r="T8" i="2" s="1"/>
  <c r="Q7" i="2"/>
  <c r="E20" i="6" s="1"/>
  <c r="O7" i="2"/>
  <c r="T7" i="2" s="1"/>
  <c r="Q6" i="2"/>
  <c r="S6" i="2" s="1"/>
  <c r="O6" i="2"/>
  <c r="C19" i="6" s="1"/>
  <c r="Q5" i="2"/>
  <c r="E18" i="6" s="1"/>
  <c r="U5" i="2"/>
  <c r="O5" i="2"/>
  <c r="T5" i="2" s="1"/>
  <c r="S7" i="2" l="1"/>
  <c r="U7" i="2" s="1"/>
  <c r="G20" i="6" s="1"/>
  <c r="T11" i="2"/>
  <c r="R11" i="2"/>
  <c r="S11" i="2"/>
  <c r="U11" i="2" s="1"/>
  <c r="D19" i="6"/>
  <c r="T6" i="2"/>
  <c r="U9" i="2"/>
  <c r="U6" i="2"/>
  <c r="G19" i="6" s="1"/>
  <c r="R10" i="2"/>
  <c r="R6" i="2"/>
  <c r="F19" i="6" s="1"/>
  <c r="G18" i="6"/>
  <c r="D21" i="6"/>
  <c r="R8" i="2"/>
  <c r="F21" i="6" s="1"/>
  <c r="B6" i="6"/>
  <c r="B7" i="6"/>
  <c r="C21" i="6"/>
  <c r="S8" i="2"/>
  <c r="U8" i="2" s="1"/>
  <c r="G21" i="6" s="1"/>
  <c r="S10" i="2"/>
  <c r="U10" i="2" s="1"/>
  <c r="B8" i="6"/>
  <c r="C18" i="6"/>
  <c r="C20" i="6"/>
  <c r="B10" i="6"/>
  <c r="D18" i="6"/>
  <c r="D20" i="6"/>
  <c r="S5" i="2"/>
  <c r="R9" i="2"/>
  <c r="E19" i="6"/>
  <c r="E22" i="6" s="1"/>
  <c r="R7" i="2"/>
  <c r="F20" i="6" s="1"/>
  <c r="R5" i="2"/>
  <c r="D22" i="6" l="1"/>
  <c r="C22" i="6"/>
  <c r="F18" i="6"/>
  <c r="F22" i="6" s="1"/>
  <c r="B9" i="6"/>
  <c r="B11" i="6"/>
  <c r="B12" i="6"/>
</calcChain>
</file>

<file path=xl/sharedStrings.xml><?xml version="1.0" encoding="utf-8"?>
<sst xmlns="http://schemas.openxmlformats.org/spreadsheetml/2006/main" count="606" uniqueCount="357">
  <si>
    <t>SUBCONTRACTOR, VENDOR &amp; LICENSE TRACKER — INSTRUCTIONS</t>
  </si>
  <si>
    <t>v2.0 Program  •  Flat table architecture  •  Designed for SharePoint + Copilot App Builder or Cowork</t>
  </si>
  <si>
    <t>SHEET / TABLE NAME</t>
  </si>
  <si>
    <t>PURPOSE</t>
  </si>
  <si>
    <t>OWNER &amp; CADENCE</t>
  </si>
  <si>
    <t>Vendor Register
→ Table: VendorRegister</t>
  </si>
  <si>
    <t>One row per vendor/subcontractor. Master data including agreement type, PoP, payment terms, contact. Ceiling, funded, and burn auto-calculate from ModLog and InvoiceLog via SUMIF/MAXIFS keyed on Vendor ID.</t>
  </si>
  <si>
    <t>Contracts Lead — update when vendor added, agreement changes, or status changes.</t>
  </si>
  <si>
    <t>Mod Log
→ Table: ModLog</t>
  </si>
  <si>
    <t>One row per modification across ALL vendors. Vendor ID links each mod to the Vendor Register. Tracks From → By → To for ceiling and funded independently. Admin mods carry $0 financial changes. This table drives ceiling and funded values on the register.</t>
  </si>
  <si>
    <t>Contracts Lead — log at point of mod execution, never retroactively.</t>
  </si>
  <si>
    <t>Invoice Log
→ Table: InvoiceLog</t>
  </si>
  <si>
    <t>One row per invoice across ALL vendors. PM enters invoice number, date submitted, period, amount, and approval status as each invoice arrives. Only Approved invoices count toward burn on the Vendor Register. Cumulative totals auto-calculate.</t>
  </si>
  <si>
    <t>PM — enter at invoice receipt. Update status when approved.</t>
  </si>
  <si>
    <t>License &amp; Subscription Register
→ Table: LicenseRegister</t>
  </si>
  <si>
    <t>One row per software license or SaaS subscription. Tracks vendor, product, seats, annual cost, expiry date, auto-renew flag, and days to renewal. Color alerts at &lt;90 days (yellow) and &lt;30 days / expired (red).</t>
  </si>
  <si>
    <t>Program Control / Tech Lead — update at procurement or renewal.</t>
  </si>
  <si>
    <t>Summary Dashboard</t>
  </si>
  <si>
    <t>Auto-calculated program-level view. Vendor financial health, funding alerts, agreement expiration pipeline, and license renewal pipeline. Do not edit directly — all values pull from the four tables above.</t>
  </si>
  <si>
    <t>PM — read only. Refresh by opening file if on SharePoint.</t>
  </si>
  <si>
    <t>WHY FLAT TABLES — KEY DESIGN DECISIONS</t>
  </si>
  <si>
    <t>Vendor ID as the link key</t>
  </si>
  <si>
    <t>Every row in ModLog and InvoiceLog carries a Vendor ID (e.g. V-001). The Vendor Register uses MAXIFS and SUMIF keyed on Vendor ID to pull ceiling, funded, and burn automatically. Adding a new vendor = one new row on the register and a Vendor ID to use in future mods and invoices. No new tabs, no formula updates, no dashboard changes.</t>
  </si>
  <si>
    <t>Excel Tables (not plain ranges)</t>
  </si>
  <si>
    <t>Each data range is defined as a named Excel Table (VendorRegister, ModLog, InvoiceLog, LicenseRegister). Excel Tables expand automatically as rows are added. Copilot App Builder and Power Automate connect to named tables directly — no brittle range references. Cowork reads them the same way.</t>
  </si>
  <si>
    <t>Only Approved invoices count toward burn</t>
  </si>
  <si>
    <t>The Vendor Register sums invoices where Status = Approved. Pending invoices are visible in the Invoice Log but do not move the burn number until PM approval. This prevents premature burn reporting.</t>
  </si>
  <si>
    <t>Ceiling and funded are independent</t>
  </si>
  <si>
    <t>A mod can increase the ceiling without adding funded value (ceiling raise pending incremental funding), or add funded value without changing the ceiling (incremental funding against existing ceiling). The From → By → To columns on ModLog track each independently.</t>
  </si>
  <si>
    <t>MOD TYPE DEFINITIONS</t>
  </si>
  <si>
    <t>MOD TYPE / CATEGORY</t>
  </si>
  <si>
    <t>DESCRIPTION — A SINGLE MOD CAN APPLY MULTIPLE CATEGORIES</t>
  </si>
  <si>
    <t>Award</t>
  </si>
  <si>
    <t>Initial contract award. Establishes base ceiling, funded value, PoP, and scope. Every vendor starts with one Award. Categories field = 'Award'.</t>
  </si>
  <si>
    <t>Ceiling</t>
  </si>
  <si>
    <t>Mod increases or decreases the not-to-exceed ceiling. The Ceiling From → By → To columns capture the change. Can appear alone or combined with Funding or Scope.</t>
  </si>
  <si>
    <t>Funding</t>
  </si>
  <si>
    <t>Mod adds or removes funded value (obligated dollars) without necessarily changing the ceiling. Common on incrementally funded agreements. Can appear alone or combined with Ceiling or PoP.</t>
  </si>
  <si>
    <t>PoP</t>
  </si>
  <si>
    <t>Mod extends or shortens the period of performance end date. Can appear alone (pure time extension) or combined with Ceiling and/or Funding when additional resources accompany the extension.</t>
  </si>
  <si>
    <t>Scope</t>
  </si>
  <si>
    <t>Mod adds, removes, or modifies the statement of work. May carry financial and schedule impact (combine with Ceiling, Funding, PoP as applicable) or may be cost-neutral.</t>
  </si>
  <si>
    <t>Admin</t>
  </si>
  <si>
    <t>No financial, schedule, or scope change. Use for POC updates, address changes, key personnel substitutions, novation, and similar administrative actions. When Admin is the only category, all financial From/By/To fields should be $0.</t>
  </si>
  <si>
    <t>EXAMPLES OF MULTI-CATEGORY MODS</t>
  </si>
  <si>
    <t>Ceiling, Funding</t>
  </si>
  <si>
    <t>Ceiling raised AND additional dollars obligated in the same mod — the most common combined mod.</t>
  </si>
  <si>
    <t>Ceiling, Funding, PoP</t>
  </si>
  <si>
    <t>Full extension mod: more time, higher ceiling, more funding.</t>
  </si>
  <si>
    <t>Funding, PoP</t>
  </si>
  <si>
    <t>Time extension with incremental funding but no ceiling change.</t>
  </si>
  <si>
    <t>Scope, Ceiling, Funding</t>
  </si>
  <si>
    <t>Scope addition that requires ceiling and funding increase.</t>
  </si>
  <si>
    <t>Scope, Admin</t>
  </si>
  <si>
    <t>SOW clarification with no financial impact — also administrative in nature.</t>
  </si>
  <si>
    <t>VENDOR REGISTER  [Table: VendorRegister]</t>
  </si>
  <si>
    <t>One row per vendor  •  Ceiling and Funded auto-calculate from Mod Log  •  Burn auto-calculates from Invoice Log  •  TO ADD A NEW VENDOR: copy the green template row, paste below last vendor, fill in static fields only</t>
  </si>
  <si>
    <t>Vendor ID</t>
  </si>
  <si>
    <t>Company Name</t>
  </si>
  <si>
    <t>Vendor
Type</t>
  </si>
  <si>
    <t>Primary
Agmt Type</t>
  </si>
  <si>
    <t>Agmt
Number</t>
  </si>
  <si>
    <t>Payment
Terms</t>
  </si>
  <si>
    <t>PoP Start</t>
  </si>
  <si>
    <t>PoP End</t>
  </si>
  <si>
    <t>Days to
PoP End</t>
  </si>
  <si>
    <t>Branch
Supporting</t>
  </si>
  <si>
    <t>POC Name</t>
  </si>
  <si>
    <t>POC Email</t>
  </si>
  <si>
    <t>NDA
On File</t>
  </si>
  <si>
    <t>NDA
Expiry</t>
  </si>
  <si>
    <t>Current
Ceiling ($)</t>
  </si>
  <si>
    <t>Current
Funded ($)</t>
  </si>
  <si>
    <t>Invoiced
Approved ($)</t>
  </si>
  <si>
    <t>Remaining
Funded ($)</t>
  </si>
  <si>
    <t>% Burned
(Funded)</t>
  </si>
  <si>
    <t>% Burned
(Ceiling)</t>
  </si>
  <si>
    <t>Funding
Health</t>
  </si>
  <si>
    <t>Agreement
Status</t>
  </si>
  <si>
    <t>Format: V-001</t>
  </si>
  <si>
    <t>Company legal name</t>
  </si>
  <si>
    <t>Subcontractor
or Vendor</t>
  </si>
  <si>
    <t>SUBK / MSA /
PO / TO / MSA</t>
  </si>
  <si>
    <t>Agreement
number</t>
  </si>
  <si>
    <t>Net 30
Net 45 etc.</t>
  </si>
  <si>
    <t>MM/DD/YYYY</t>
  </si>
  <si>
    <t>AUTO →
formula</t>
  </si>
  <si>
    <t>Branch name</t>
  </si>
  <si>
    <t>Full name</t>
  </si>
  <si>
    <t>email@domain.com</t>
  </si>
  <si>
    <t>Yes / No</t>
  </si>
  <si>
    <t>AUTO →
Mod Log</t>
  </si>
  <si>
    <t>AUTO →
Invoice Log</t>
  </si>
  <si>
    <t>Active / Pending
/ Closed</t>
  </si>
  <si>
    <t>▶ TEMPLATE — copy this row for new vendor, do not edit formulas</t>
  </si>
  <si>
    <t>[Company Name]</t>
  </si>
  <si>
    <t>Subcontractor</t>
  </si>
  <si>
    <t>SUBK</t>
  </si>
  <si>
    <t>[Agmt #]</t>
  </si>
  <si>
    <t>Net 30</t>
  </si>
  <si>
    <t>[Branch]</t>
  </si>
  <si>
    <t>[POC Name]</t>
  </si>
  <si>
    <t>[POC Email]</t>
  </si>
  <si>
    <t>Yes</t>
  </si>
  <si>
    <t>Active</t>
  </si>
  <si>
    <t>V-001</t>
  </si>
  <si>
    <t>Apex Solutions LLC</t>
  </si>
  <si>
    <t>SUBK-001</t>
  </si>
  <si>
    <t>04/01/2026</t>
  </si>
  <si>
    <t>03/31/2027</t>
  </si>
  <si>
    <t>2.0 Software Dev</t>
  </si>
  <si>
    <t>John Carter</t>
  </si>
  <si>
    <t>jcarter@apex.com</t>
  </si>
  <si>
    <t>12/31/2027</t>
  </si>
  <si>
    <t>V-002</t>
  </si>
  <si>
    <t>CyberShield Inc.</t>
  </si>
  <si>
    <t>SUBK-002</t>
  </si>
  <si>
    <t>09/30/2026</t>
  </si>
  <si>
    <t>3.0 Security &amp; Compliance</t>
  </si>
  <si>
    <t>Maria Lopez</t>
  </si>
  <si>
    <t>mlopez@cybershield.com</t>
  </si>
  <si>
    <t>V-003</t>
  </si>
  <si>
    <t>CloudInfra Partners</t>
  </si>
  <si>
    <t>MSA</t>
  </si>
  <si>
    <t>MSA-001</t>
  </si>
  <si>
    <t>Net 45</t>
  </si>
  <si>
    <t>01/01/2026</t>
  </si>
  <si>
    <t>12/31/2026</t>
  </si>
  <si>
    <t>4.0 Infra &amp; Environment</t>
  </si>
  <si>
    <t>David Kim</t>
  </si>
  <si>
    <t>dkim@cloudinfra.com</t>
  </si>
  <si>
    <t>V-004</t>
  </si>
  <si>
    <t>TrainingPro LLC</t>
  </si>
  <si>
    <t>Vendor</t>
  </si>
  <si>
    <t>PO</t>
  </si>
  <si>
    <t>PO-001</t>
  </si>
  <si>
    <t>05/01/2026</t>
  </si>
  <si>
    <t>10/31/2026</t>
  </si>
  <si>
    <t>6.0 Fielding &amp; Transition</t>
  </si>
  <si>
    <t>Sarah Chen</t>
  </si>
  <si>
    <t>schen@trainingpro.com</t>
  </si>
  <si>
    <t>06/30/2026</t>
  </si>
  <si>
    <t>V-005</t>
  </si>
  <si>
    <t>DataBridge Consulting</t>
  </si>
  <si>
    <t>SUBK-003</t>
  </si>
  <si>
    <t>Mike Torres</t>
  </si>
  <si>
    <t>mtorres@databridge.com</t>
  </si>
  <si>
    <t>MOD LOG — ALL VENDORS  [Table: ModLog]</t>
  </si>
  <si>
    <t>One row per modification across all vendors  •  Vendor ID links to Vendor Register  •  Categories: comma-separate all that apply (e.g. 'Ceiling, Funding, PoP')  •  From → By → To tracks ceiling and funded independently</t>
  </si>
  <si>
    <t>Mod
Number</t>
  </si>
  <si>
    <t>Effective
Date</t>
  </si>
  <si>
    <t>Mod Categories
(select all that apply)</t>
  </si>
  <si>
    <t>Description</t>
  </si>
  <si>
    <t>Ceiling
From ($)</t>
  </si>
  <si>
    <t>Ceiling
By ($)</t>
  </si>
  <si>
    <t>Ceiling
To ($)</t>
  </si>
  <si>
    <t>Funded
From ($)</t>
  </si>
  <si>
    <t>Funded
By ($)</t>
  </si>
  <si>
    <t>Funded
To ($)</t>
  </si>
  <si>
    <t>Previous
PoP End</t>
  </si>
  <si>
    <t>New
PoP End</t>
  </si>
  <si>
    <t>Approved
By</t>
  </si>
  <si>
    <t>Notes</t>
  </si>
  <si>
    <t>Mod-000</t>
  </si>
  <si>
    <t>Initial subcontract award.</t>
  </si>
  <si>
    <t>Contracting Officer</t>
  </si>
  <si>
    <t>Base award.</t>
  </si>
  <si>
    <t>Mod-001</t>
  </si>
  <si>
    <t>06/10/2026</t>
  </si>
  <si>
    <t>Scope addition CR-001 (mobile UI). Ceiling raised $50K; no new funding added at this time.</t>
  </si>
  <si>
    <t>Tied to CR-001. MOD-001 executed 06/10.</t>
  </si>
  <si>
    <t>Initial subcontract award — ATO support and STIG remediation.</t>
  </si>
  <si>
    <t>TBD</t>
  </si>
  <si>
    <t>30-day PoP extension per CR-002. No financial change. Pending CO signature.</t>
  </si>
  <si>
    <t>PM / CO</t>
  </si>
  <si>
    <t>Pending. CR-002 still awaiting government approval.</t>
  </si>
  <si>
    <t>MSA award — cloud environment provisioning and maintenance.</t>
  </si>
  <si>
    <t>06/20/2026</t>
  </si>
  <si>
    <t>Added GFE configuration support per CR-004. No ceiling or funding change.</t>
  </si>
  <si>
    <t>PM</t>
  </si>
  <si>
    <t>Scope only — no financial impact.</t>
  </si>
  <si>
    <t>PO award — training development and delivery.</t>
  </si>
  <si>
    <t>Initial subcontract award — API integration and data layer.</t>
  </si>
  <si>
    <t>[Enter description]</t>
  </si>
  <si>
    <t>▶ NEW MOD ENTRY ROW — fill in all fields, copy down for additional mods</t>
  </si>
  <si>
    <t>[Mod-00X]</t>
  </si>
  <si>
    <t>[MM/DD/YYYY]</t>
  </si>
  <si>
    <t>Award / Ceiling / Funding / PoP / Scope / Admin  (comma-separate multiples)</t>
  </si>
  <si>
    <t>[Description of what this mod does and why]</t>
  </si>
  <si>
    <t>[prev PoP end or blank]</t>
  </si>
  <si>
    <t>[new PoP end or blank]</t>
  </si>
  <si>
    <t>[Approver name + title]</t>
  </si>
  <si>
    <t>[Any additional context]</t>
  </si>
  <si>
    <t>INVOICE LOG — ALL VENDORS  [Table: InvoiceLog]</t>
  </si>
  <si>
    <t>One row per invoice across all vendors  •  PM enters: Vendor ID, Invoice #, Date, Period, Amount, Status  •  Only Approved invoices count toward burn on Vendor Register  •  Cumulative totals auto-calculate per row</t>
  </si>
  <si>
    <t>Invoice
Number</t>
  </si>
  <si>
    <t>Date
Submitted</t>
  </si>
  <si>
    <t>Period of
Performance</t>
  </si>
  <si>
    <t>Invoice
Amount ($)</t>
  </si>
  <si>
    <t>Approval
Status</t>
  </si>
  <si>
    <t>PM Approved
By</t>
  </si>
  <si>
    <t>Date
Approved</t>
  </si>
  <si>
    <t>Cumul. Approved
This Vendor ($)</t>
  </si>
  <si>
    <t>INV-001-001</t>
  </si>
  <si>
    <t>04/30/2026</t>
  </si>
  <si>
    <t>April 2026 Services</t>
  </si>
  <si>
    <t>Approved</t>
  </si>
  <si>
    <t>05/05/2026</t>
  </si>
  <si>
    <t>INV-001-002</t>
  </si>
  <si>
    <t>05/31/2026</t>
  </si>
  <si>
    <t>May 2026 Services</t>
  </si>
  <si>
    <t>06/04/2026</t>
  </si>
  <si>
    <t>INV-001-003</t>
  </si>
  <si>
    <t>06/23/2026</t>
  </si>
  <si>
    <t>June 2026 Services</t>
  </si>
  <si>
    <t>Pending</t>
  </si>
  <si>
    <t>Awaiting PM review.</t>
  </si>
  <si>
    <t>INV-002-001</t>
  </si>
  <si>
    <t>INV-002-002</t>
  </si>
  <si>
    <t>INV-002-003</t>
  </si>
  <si>
    <t>INV-003-001</t>
  </si>
  <si>
    <t>INV-003-002</t>
  </si>
  <si>
    <t>INV-003-003</t>
  </si>
  <si>
    <t>INV-005-001</t>
  </si>
  <si>
    <t>INV-005-002</t>
  </si>
  <si>
    <t>INV-005-003</t>
  </si>
  <si>
    <t>▶ NEW INVOICE ENTRY ROW</t>
  </si>
  <si>
    <t>[INV-00X-00X]</t>
  </si>
  <si>
    <t>[Month YYYY Services]</t>
  </si>
  <si>
    <t>LICENSE &amp; SUBSCRIPTION REGISTER  [Table: LicenseRegister]</t>
  </si>
  <si>
    <t>One row per software license or SaaS subscription  •  Renewal alerts: &lt;90 days = yellow, &lt;30 days or expired = red  •  Add new license = add one row</t>
  </si>
  <si>
    <t>License ID</t>
  </si>
  <si>
    <t>Product / Service</t>
  </si>
  <si>
    <t>Category</t>
  </si>
  <si>
    <t>License
Type</t>
  </si>
  <si>
    <t># Seats /
Units</t>
  </si>
  <si>
    <t>Branch
Using</t>
  </si>
  <si>
    <t>Annual
Cost ($)</t>
  </si>
  <si>
    <t>Total
Contract ($)</t>
  </si>
  <si>
    <t>Purchase
Date</t>
  </si>
  <si>
    <t>Expiry
Date</t>
  </si>
  <si>
    <t>Days to
Renewal</t>
  </si>
  <si>
    <t>Auto-
Renew?</t>
  </si>
  <si>
    <t>Renewal Action Required</t>
  </si>
  <si>
    <t>PO / Ref #</t>
  </si>
  <si>
    <t>Subscription
POC Name</t>
  </si>
  <si>
    <t>Subscription
POC Email</t>
  </si>
  <si>
    <t>L-001</t>
  </si>
  <si>
    <t>Microsoft</t>
  </si>
  <si>
    <t>Microsoft 365 E3</t>
  </si>
  <si>
    <t>Productivity</t>
  </si>
  <si>
    <t>Subscription</t>
  </si>
  <si>
    <t>All Branches</t>
  </si>
  <si>
    <t>Confirm seat count before renewal</t>
  </si>
  <si>
    <t>PO-M365-001</t>
  </si>
  <si>
    <t>IT Admin</t>
  </si>
  <si>
    <t>m365support@microsoft.com</t>
  </si>
  <si>
    <t>L-002</t>
  </si>
  <si>
    <t>ClickUp</t>
  </si>
  <si>
    <t>ClickUp Business</t>
  </si>
  <si>
    <t>Project Mgmt</t>
  </si>
  <si>
    <t>1.0 / 2.0</t>
  </si>
  <si>
    <t>Verify IT governance approval before renew</t>
  </si>
  <si>
    <t>PO-CU-001</t>
  </si>
  <si>
    <t>support@clickup.com</t>
  </si>
  <si>
    <t>L-003</t>
  </si>
  <si>
    <t>GitHub</t>
  </si>
  <si>
    <t>GitHub Enterprise</t>
  </si>
  <si>
    <t>Dev Tools</t>
  </si>
  <si>
    <t>Review seat count at renewal</t>
  </si>
  <si>
    <t>PO-GH-001</t>
  </si>
  <si>
    <t>Dev Lead</t>
  </si>
  <si>
    <t>enterprise@github.com</t>
  </si>
  <si>
    <t>L-004</t>
  </si>
  <si>
    <t>Tenable</t>
  </si>
  <si>
    <t>Tenable.io Vuln Mgmt</t>
  </si>
  <si>
    <t>Security</t>
  </si>
  <si>
    <t>3.0 Security</t>
  </si>
  <si>
    <t>06/01/2026</t>
  </si>
  <si>
    <t>05/31/2027</t>
  </si>
  <si>
    <t>No</t>
  </si>
  <si>
    <t>CO approval required — start process 90 days out</t>
  </si>
  <si>
    <t>PO-TEN-001</t>
  </si>
  <si>
    <t>Security Lead</t>
  </si>
  <si>
    <t>renewals@tenable.com</t>
  </si>
  <si>
    <t>L-005</t>
  </si>
  <si>
    <t>AWS</t>
  </si>
  <si>
    <t>AWS GovCloud</t>
  </si>
  <si>
    <t>Cloud Infra</t>
  </si>
  <si>
    <t>Consumption</t>
  </si>
  <si>
    <t>4.0 Infra</t>
  </si>
  <si>
    <t>Review monthly spend vs. budget</t>
  </si>
  <si>
    <t>AWS-GOV-001</t>
  </si>
  <si>
    <t>Infra Lead</t>
  </si>
  <si>
    <t>aws-enterprise@amazon.com</t>
  </si>
  <si>
    <t>L-006</t>
  </si>
  <si>
    <t>Atlassian</t>
  </si>
  <si>
    <t>Jira Software</t>
  </si>
  <si>
    <t>07/15/2026</t>
  </si>
  <si>
    <t>EXPIRING &lt;30 DAYS — action required now</t>
  </si>
  <si>
    <t>PO-JIR-001</t>
  </si>
  <si>
    <t>renewals@atlassian.com</t>
  </si>
  <si>
    <t>L-007</t>
  </si>
  <si>
    <t>Fortify</t>
  </si>
  <si>
    <t>Fortify SAST</t>
  </si>
  <si>
    <t>Annual License</t>
  </si>
  <si>
    <t>07/01/2025</t>
  </si>
  <si>
    <t>EXPIRED — renew immediately</t>
  </si>
  <si>
    <t>PO-FRT-001</t>
  </si>
  <si>
    <t>renewals@microfocus.com</t>
  </si>
  <si>
    <t>L-008</t>
  </si>
  <si>
    <t>Zoom</t>
  </si>
  <si>
    <t>Zoom Business</t>
  </si>
  <si>
    <t>Comms</t>
  </si>
  <si>
    <t>03/01/2026</t>
  </si>
  <si>
    <t>02/28/2027</t>
  </si>
  <si>
    <t>Standard renewal</t>
  </si>
  <si>
    <t>PO-ZM-001</t>
  </si>
  <si>
    <t>enterprise@zoom.us</t>
  </si>
  <si>
    <t>L-009</t>
  </si>
  <si>
    <t>[New Tool]</t>
  </si>
  <si>
    <t>SUMMARY DASHBOARD</t>
  </si>
  <si>
    <t>Auto-calculated from VendorRegister, ModLog, InvoiceLog, and LicenseRegister tables  •  Do not edit directly</t>
  </si>
  <si>
    <t>PROGRAM-LEVEL SUBCONTRACTOR FINANCIAL SUMMARY</t>
  </si>
  <si>
    <t>Metric</t>
  </si>
  <si>
    <t>Value</t>
  </si>
  <si>
    <t>Total Subcontractor Ceiling</t>
  </si>
  <si>
    <t>Total Funded Value</t>
  </si>
  <si>
    <t>Total Invoiced (Approved)</t>
  </si>
  <si>
    <t>Total Remaining Funded</t>
  </si>
  <si>
    <t>Program Burn % (vs Funded)</t>
  </si>
  <si>
    <t>Vendors at Warning (&gt;75%)</t>
  </si>
  <si>
    <t>Vendors at Critical (&gt;90%)</t>
  </si>
  <si>
    <t>Total Annual License Spend</t>
  </si>
  <si>
    <t>VENDOR FINANCIAL HEALTH — ALL ACTIVE VENDORS</t>
  </si>
  <si>
    <t>Company</t>
  </si>
  <si>
    <t>Ceiling ($)</t>
  </si>
  <si>
    <t>Funded ($)</t>
  </si>
  <si>
    <t>Funding Health</t>
  </si>
  <si>
    <t>TOTALS</t>
  </si>
  <si>
    <t>AGREEMENT EXPIRATION ALERTS  (PoP End &lt; 90 Days)</t>
  </si>
  <si>
    <t>Agmt Type</t>
  </si>
  <si>
    <t>Agmt Number</t>
  </si>
  <si>
    <t>Days Remaining</t>
  </si>
  <si>
    <t>Status</t>
  </si>
  <si>
    <t>LICENSE RENEWAL ALERTS  (&lt; 90 Days)</t>
  </si>
  <si>
    <t>Product</t>
  </si>
  <si>
    <t>Expiry Date</t>
  </si>
  <si>
    <t>Annual Cost ($)</t>
  </si>
  <si>
    <t>Auto-Renew?</t>
  </si>
  <si>
    <t>TOTAL ANNUAL LICENSE SPEND</t>
  </si>
  <si>
    <t>v-006</t>
  </si>
  <si>
    <t>V-006</t>
  </si>
  <si>
    <t xml:space="preserve">Test </t>
  </si>
  <si>
    <t>Test</t>
  </si>
  <si>
    <t>MOD-000</t>
  </si>
  <si>
    <t>INV-004-001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</si>
</sst>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9" formatCode="mm/dd/yyyy"/>
  </numFmts>
  <fonts count="15" x14ac:knownFonts="1">
    <font>
      <sz val="11"/>
      <color theme="1"/>
      <name val="Calibri"/>
      <family val="2"/>
      <charset val="1"/>
    </font>
    <font>
      <b/>
      <sz val="14"/>
      <color rgb="FFFFFFFF"/>
      <name val="Arial"/>
      <charset val="1"/>
    </font>
    <font>
      <i/>
      <sz val="10"/>
      <color rgb="FF666666"/>
      <name val="Arial"/>
      <charset val="1"/>
    </font>
    <font>
      <b/>
      <sz val="10"/>
      <color rgb="FFFFFFFF"/>
      <name val="Arial"/>
      <charset val="1"/>
    </font>
    <font>
      <sz val="10"/>
      <color rgb="FF000000"/>
      <name val="Arial"/>
      <charset val="1"/>
    </font>
    <font>
      <b/>
      <sz val="11"/>
      <color rgb="FFFFFFFF"/>
      <name val="Arial"/>
      <charset val="1"/>
    </font>
    <font>
      <b/>
      <sz val="10"/>
      <name val="Arial"/>
      <charset val="1"/>
    </font>
    <font>
      <sz val="10"/>
      <name val="Arial"/>
      <charset val="1"/>
    </font>
    <font>
      <b/>
      <sz val="10"/>
      <color rgb="FF333333"/>
      <name val="Arial"/>
      <charset val="1"/>
    </font>
    <font>
      <sz val="10"/>
      <color rgb="FF333333"/>
      <name val="Arial"/>
      <charset val="1"/>
    </font>
    <font>
      <i/>
      <sz val="8"/>
      <color rgb="FF555555"/>
      <name val="Arial"/>
      <charset val="1"/>
    </font>
    <font>
      <b/>
      <sz val="10"/>
      <color rgb="FF1E4620"/>
      <name val="Arial"/>
      <charset val="1"/>
    </font>
    <font>
      <sz val="10"/>
      <color rgb="FF1E4620"/>
      <name val="Arial"/>
      <charset val="1"/>
    </font>
    <font>
      <i/>
      <sz val="10"/>
      <color rgb="FF1E4620"/>
      <name val="Arial"/>
      <charset val="1"/>
    </font>
    <font>
      <b/>
      <sz val="10"/>
      <color rgb="FF9C0006"/>
      <name val="Arial"/>
      <charset val="1"/>
    </font>
  </fonts>
  <fills count="14">
    <fill>
      <patternFill patternType="none"/>
    </fill>
    <fill>
      <patternFill patternType="gray125"/>
    </fill>
    <fill>
      <patternFill patternType="solid">
        <fgColor rgb="FF1F3864"/>
        <bgColor rgb="FF333333"/>
      </patternFill>
    </fill>
    <fill>
      <patternFill patternType="solid">
        <fgColor rgb="FF2E4D8A"/>
        <bgColor rgb="FF1F3864"/>
      </patternFill>
    </fill>
    <fill>
      <patternFill patternType="solid">
        <fgColor rgb="FFFFFFFF"/>
        <bgColor rgb="FFF7F7F7"/>
      </patternFill>
    </fill>
    <fill>
      <patternFill patternType="solid">
        <fgColor rgb="FFD9E1F2"/>
        <bgColor rgb="FFDDEBF7"/>
      </patternFill>
    </fill>
    <fill>
      <patternFill patternType="solid">
        <fgColor rgb="FFDDEBF7"/>
        <bgColor rgb="FFD9E1F2"/>
      </patternFill>
    </fill>
    <fill>
      <patternFill patternType="solid">
        <fgColor rgb="FFF7F7F7"/>
        <bgColor rgb="FFF2F2F2"/>
      </patternFill>
    </fill>
    <fill>
      <patternFill patternType="solid">
        <fgColor rgb="FFE2EFDA"/>
        <bgColor rgb="FFDDEBF7"/>
      </patternFill>
    </fill>
    <fill>
      <patternFill patternType="solid">
        <fgColor rgb="FFF2F2F2"/>
        <bgColor rgb="FFF7F7F7"/>
      </patternFill>
    </fill>
    <fill>
      <patternFill patternType="solid">
        <fgColor rgb="FFFFCCCC"/>
        <bgColor rgb="FFCCCCCC"/>
      </patternFill>
    </fill>
    <fill>
      <patternFill patternType="solid">
        <fgColor rgb="FFFFEB9C"/>
        <bgColor rgb="FFE2EFDA"/>
      </patternFill>
    </fill>
    <fill>
      <patternFill patternType="solid">
        <fgColor rgb="FFD9E1F2"/>
        <bgColor indexed="64"/>
      </patternFill>
    </fill>
    <fill>
      <patternFill patternType="solid">
        <fgColor rgb="FFFFFFFF"/>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medium">
        <color rgb="FF1F3864"/>
      </left>
      <right style="medium">
        <color rgb="FF1F3864"/>
      </right>
      <top style="medium">
        <color rgb="FF1F3864"/>
      </top>
      <bottom style="medium">
        <color rgb="FF1F3864"/>
      </bottom>
      <diagonal/>
    </border>
  </borders>
  <cellStyleXfs count="1">
    <xf numFmtId="0" fontId="0" fillId="0" borderId="0"/>
  </cellStyleXfs>
  <cellXfs count="59">
    <xf numFmtId="0" fontId="0" fillId="0" borderId="0" xfId="0"/>
    <xf numFmtId="164" fontId="7" fillId="4" borderId="1" xfId="0" applyNumberFormat="1" applyFont="1" applyFill="1" applyBorder="1" applyAlignment="1">
      <alignment horizontal="center" vertical="center"/>
    </xf>
    <xf numFmtId="164" fontId="7" fillId="5" borderId="1" xfId="0" applyNumberFormat="1" applyFont="1" applyFill="1" applyBorder="1" applyAlignment="1">
      <alignment horizontal="center" vertical="center"/>
    </xf>
    <xf numFmtId="0" fontId="5" fillId="3" borderId="0" xfId="0" applyFont="1" applyFill="1" applyAlignment="1">
      <alignment horizontal="center" vertical="center"/>
    </xf>
    <xf numFmtId="0" fontId="2" fillId="0" borderId="0" xfId="0" applyFont="1" applyAlignment="1">
      <alignment horizontal="center" vertical="center" wrapText="1"/>
    </xf>
    <xf numFmtId="0" fontId="9" fillId="4"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3" fillId="3"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5" fillId="2" borderId="0" xfId="0" applyFont="1" applyFill="1" applyAlignment="1">
      <alignment horizontal="center" vertical="center"/>
    </xf>
    <xf numFmtId="0" fontId="2" fillId="0" borderId="0" xfId="0" applyFont="1" applyAlignment="1">
      <alignment horizontal="center" vertical="center"/>
    </xf>
    <xf numFmtId="0" fontId="1" fillId="2" borderId="0" xfId="0" applyFont="1" applyFill="1" applyAlignment="1">
      <alignment horizontal="center" vertical="center"/>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1" fillId="8" borderId="2" xfId="0" applyFont="1" applyFill="1" applyBorder="1" applyAlignment="1">
      <alignment horizontal="left" vertical="center" wrapText="1"/>
    </xf>
    <xf numFmtId="0" fontId="12" fillId="8" borderId="1" xfId="0" applyFont="1" applyFill="1" applyBorder="1" applyAlignment="1">
      <alignment horizontal="left" vertical="center" wrapText="1"/>
    </xf>
    <xf numFmtId="0" fontId="12" fillId="8" borderId="1" xfId="0" applyFont="1" applyFill="1" applyBorder="1" applyAlignment="1">
      <alignment horizontal="center" vertical="center"/>
    </xf>
    <xf numFmtId="164" fontId="12" fillId="8" borderId="1" xfId="0" applyNumberFormat="1" applyFont="1" applyFill="1" applyBorder="1" applyAlignment="1">
      <alignment horizontal="center" vertical="center"/>
    </xf>
    <xf numFmtId="165" fontId="12" fillId="8" borderId="1" xfId="0" applyNumberFormat="1" applyFont="1" applyFill="1" applyBorder="1" applyAlignment="1">
      <alignment horizontal="center" vertical="center"/>
    </xf>
    <xf numFmtId="0" fontId="7" fillId="5" borderId="1" xfId="0" applyFont="1" applyFill="1" applyBorder="1" applyAlignment="1">
      <alignment horizontal="center" vertical="center"/>
    </xf>
    <xf numFmtId="164" fontId="7" fillId="5" borderId="1" xfId="0" applyNumberFormat="1" applyFont="1" applyFill="1" applyBorder="1" applyAlignment="1">
      <alignment horizontal="left" vertical="center" wrapText="1"/>
    </xf>
    <xf numFmtId="165" fontId="7" fillId="5" borderId="1" xfId="0" applyNumberFormat="1" applyFont="1" applyFill="1" applyBorder="1" applyAlignment="1">
      <alignment horizontal="left" vertical="center" wrapText="1"/>
    </xf>
    <xf numFmtId="0" fontId="7" fillId="4" borderId="1" xfId="0" applyFont="1" applyFill="1" applyBorder="1" applyAlignment="1">
      <alignment horizontal="center" vertical="center"/>
    </xf>
    <xf numFmtId="164" fontId="7" fillId="4" borderId="1" xfId="0" applyNumberFormat="1" applyFont="1" applyFill="1" applyBorder="1" applyAlignment="1">
      <alignment horizontal="left" vertical="center" wrapText="1"/>
    </xf>
    <xf numFmtId="165" fontId="7" fillId="4" borderId="1" xfId="0" applyNumberFormat="1" applyFont="1" applyFill="1" applyBorder="1" applyAlignment="1">
      <alignment horizontal="left" vertical="center" wrapText="1"/>
    </xf>
    <xf numFmtId="164" fontId="7" fillId="5" borderId="1" xfId="0" applyNumberFormat="1" applyFont="1" applyFill="1" applyBorder="1" applyAlignment="1">
      <alignment horizontal="center" vertical="center"/>
    </xf>
    <xf numFmtId="164" fontId="7" fillId="4" borderId="1" xfId="0" applyNumberFormat="1" applyFont="1" applyFill="1" applyBorder="1" applyAlignment="1">
      <alignment horizontal="center" vertical="center"/>
    </xf>
    <xf numFmtId="0" fontId="11" fillId="8"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164" fontId="13" fillId="8" borderId="1" xfId="0" applyNumberFormat="1" applyFont="1" applyFill="1" applyBorder="1" applyAlignment="1">
      <alignment horizontal="center" vertical="center"/>
    </xf>
    <xf numFmtId="0" fontId="6" fillId="9" borderId="1" xfId="0" applyFont="1" applyFill="1" applyBorder="1" applyAlignment="1">
      <alignment horizontal="left" vertical="center" wrapText="1"/>
    </xf>
    <xf numFmtId="164" fontId="6" fillId="9" borderId="1" xfId="0" applyNumberFormat="1" applyFont="1" applyFill="1" applyBorder="1" applyAlignment="1">
      <alignment horizontal="left" vertical="center" wrapText="1"/>
    </xf>
    <xf numFmtId="0" fontId="7" fillId="10" borderId="1" xfId="0" applyFont="1" applyFill="1" applyBorder="1" applyAlignment="1">
      <alignment horizontal="left" vertical="center" wrapText="1"/>
    </xf>
    <xf numFmtId="0" fontId="7" fillId="10" borderId="1" xfId="0" applyFont="1" applyFill="1" applyBorder="1" applyAlignment="1">
      <alignment horizontal="center" vertical="center"/>
    </xf>
    <xf numFmtId="0" fontId="7" fillId="11" borderId="1" xfId="0" applyFont="1" applyFill="1" applyBorder="1" applyAlignment="1">
      <alignment horizontal="left" vertical="center" wrapText="1"/>
    </xf>
    <xf numFmtId="0" fontId="7" fillId="11" borderId="1" xfId="0" applyFont="1" applyFill="1" applyBorder="1" applyAlignment="1">
      <alignment horizontal="center" vertical="center"/>
    </xf>
    <xf numFmtId="0" fontId="14" fillId="10" borderId="1" xfId="0" applyFont="1" applyFill="1" applyBorder="1" applyAlignment="1">
      <alignment horizontal="left" vertical="center" wrapText="1"/>
    </xf>
    <xf numFmtId="0" fontId="14" fillId="10" borderId="1" xfId="0" applyFont="1" applyFill="1" applyBorder="1" applyAlignment="1">
      <alignment horizontal="center" vertical="center"/>
    </xf>
    <xf numFmtId="164" fontId="14" fillId="10" borderId="1" xfId="0" applyNumberFormat="1" applyFont="1" applyFill="1" applyBorder="1" applyAlignment="1">
      <alignment horizontal="left" vertical="center" wrapText="1"/>
    </xf>
    <xf numFmtId="165" fontId="7" fillId="5"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14" fontId="7" fillId="4" borderId="1" xfId="0" applyNumberFormat="1" applyFont="1" applyFill="1" applyBorder="1" applyAlignment="1">
      <alignment horizontal="left" vertical="center" wrapText="1"/>
    </xf>
    <xf numFmtId="164" fontId="10" fillId="7" borderId="1" xfId="0" applyNumberFormat="1" applyFont="1" applyFill="1" applyBorder="1" applyAlignment="1">
      <alignment horizontal="center" vertical="center" wrapText="1"/>
    </xf>
    <xf numFmtId="0" fontId="4" fillId="12" borderId="1" xfId="0" applyFont="1" applyFill="1" applyBorder="1" applyAlignment="1">
      <alignment horizontal="center" vertical="center"/>
    </xf>
    <xf numFmtId="0" fontId="4" fillId="13" borderId="1" xfId="0" applyFont="1" applyFill="1" applyBorder="1" applyAlignment="1">
      <alignment horizontal="center" vertical="center"/>
    </xf>
    <xf numFmtId="169" fontId="7" fillId="5" borderId="1" xfId="0" applyNumberFormat="1" applyFont="1" applyFill="1" applyBorder="1" applyAlignment="1">
      <alignment horizontal="left" vertical="center" wrapText="1"/>
    </xf>
  </cellXfs>
  <cellStyles count="1">
    <cellStyle name="Normal" xfId="0" builtinId="0"/>
  </cellStyles>
  <dxfs count="18">
    <dxf>
      <font>
        <sz val="10"/>
        <color rgb="FF9C6500"/>
        <name val="Arial"/>
        <charset val="1"/>
      </font>
      <fill>
        <patternFill>
          <bgColor rgb="FFFFEB9C"/>
        </patternFill>
      </fill>
    </dxf>
    <dxf>
      <font>
        <b/>
        <sz val="10"/>
        <color rgb="FF9C0006"/>
        <name val="Arial"/>
        <charset val="1"/>
      </font>
      <fill>
        <patternFill>
          <bgColor rgb="FFFFCCCC"/>
        </patternFill>
      </fill>
    </dxf>
    <dxf>
      <font>
        <sz val="10"/>
        <color rgb="FF276221"/>
        <name val="Arial"/>
        <charset val="1"/>
      </font>
      <fill>
        <patternFill>
          <bgColor rgb="FFC6EFCE"/>
        </patternFill>
      </fill>
    </dxf>
    <dxf>
      <font>
        <sz val="10"/>
        <color rgb="FF9C6500"/>
        <name val="Arial"/>
        <charset val="1"/>
      </font>
      <fill>
        <patternFill>
          <bgColor rgb="FFFFEB9C"/>
        </patternFill>
      </fill>
    </dxf>
    <dxf>
      <font>
        <b/>
        <sz val="10"/>
        <color rgb="FF9C0006"/>
        <name val="Arial"/>
        <charset val="1"/>
      </font>
      <fill>
        <patternFill>
          <bgColor rgb="FFFFCCCC"/>
        </patternFill>
      </fill>
    </dxf>
    <dxf>
      <font>
        <b/>
        <sz val="10"/>
        <color rgb="FF9C0006"/>
        <name val="Arial"/>
        <charset val="1"/>
      </font>
      <fill>
        <patternFill>
          <bgColor rgb="FFFFCCCC"/>
        </patternFill>
      </fill>
    </dxf>
    <dxf>
      <font>
        <sz val="10"/>
        <color rgb="FF9C0006"/>
        <name val="Arial"/>
        <charset val="1"/>
      </font>
      <fill>
        <patternFill>
          <bgColor rgb="FFFFCCCC"/>
        </patternFill>
      </fill>
    </dxf>
    <dxf>
      <font>
        <sz val="10"/>
        <color rgb="FF9C6500"/>
        <name val="Arial"/>
        <charset val="1"/>
      </font>
      <fill>
        <patternFill>
          <bgColor rgb="FFFFEB9C"/>
        </patternFill>
      </fill>
    </dxf>
    <dxf>
      <font>
        <sz val="10"/>
        <color rgb="FF276221"/>
        <name val="Arial"/>
        <charset val="1"/>
      </font>
      <fill>
        <patternFill>
          <bgColor rgb="FFC6EFCE"/>
        </patternFill>
      </fill>
    </dxf>
    <dxf>
      <font>
        <i/>
        <sz val="10"/>
        <color rgb="FF666666"/>
        <name val="Arial"/>
        <charset val="1"/>
      </font>
      <fill>
        <patternFill>
          <bgColor rgb="FFF2F2F2"/>
        </patternFill>
      </fill>
    </dxf>
    <dxf>
      <font>
        <b/>
        <sz val="10"/>
        <color rgb="FF1F3864"/>
        <name val="Arial"/>
        <charset val="1"/>
      </font>
      <fill>
        <patternFill>
          <bgColor rgb="FFDDEBF7"/>
        </patternFill>
      </fill>
    </dxf>
    <dxf>
      <font>
        <sz val="10"/>
        <color rgb="FF9C6500"/>
        <name val="Arial"/>
        <charset val="1"/>
      </font>
      <fill>
        <patternFill>
          <bgColor rgb="FFFFEB9C"/>
        </patternFill>
      </fill>
    </dxf>
    <dxf>
      <font>
        <b/>
        <sz val="10"/>
        <color rgb="FF9C0006"/>
        <name val="Arial"/>
        <charset val="1"/>
      </font>
      <fill>
        <patternFill>
          <bgColor rgb="FFFFCCCC"/>
        </patternFill>
      </fill>
    </dxf>
    <dxf>
      <font>
        <sz val="10"/>
        <color rgb="FF9C6500"/>
        <name val="Arial"/>
        <charset val="1"/>
      </font>
      <fill>
        <patternFill>
          <bgColor rgb="FFFFEB9C"/>
        </patternFill>
      </fill>
    </dxf>
    <dxf>
      <font>
        <b/>
        <sz val="10"/>
        <color rgb="FF9C0006"/>
        <name val="Arial"/>
        <charset val="1"/>
      </font>
      <fill>
        <patternFill>
          <bgColor rgb="FFFFCCCC"/>
        </patternFill>
      </fill>
    </dxf>
    <dxf>
      <font>
        <sz val="10"/>
        <color rgb="FF9C6500"/>
        <name val="Arial"/>
        <charset val="1"/>
      </font>
      <fill>
        <patternFill>
          <bgColor rgb="FFFFEB9C"/>
        </patternFill>
      </fill>
    </dxf>
    <dxf>
      <font>
        <b/>
        <sz val="10"/>
        <color rgb="FF9C0006"/>
        <name val="Arial"/>
        <charset val="1"/>
      </font>
      <fill>
        <patternFill>
          <bgColor rgb="FFFFCCCC"/>
        </patternFill>
      </fill>
    </dxf>
    <dxf>
      <numFmt numFmtId="164" formatCode="\$#,##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276221"/>
      <rgbColor rgb="FF000080"/>
      <rgbColor rgb="FF9C6500"/>
      <rgbColor rgb="FF800080"/>
      <rgbColor rgb="FF008080"/>
      <rgbColor rgb="FFCCCCCC"/>
      <rgbColor rgb="FF555555"/>
      <rgbColor rgb="FF9999FF"/>
      <rgbColor rgb="FF993366"/>
      <rgbColor rgb="FFF7F7F7"/>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6EFCE"/>
      <rgbColor rgb="FFFFEB9C"/>
      <rgbColor rgb="FFF2F2F2"/>
      <rgbColor rgb="FFFF99CC"/>
      <rgbColor rgb="FFCC99FF"/>
      <rgbColor rgb="FFFFCCCC"/>
      <rgbColor rgb="FF3366FF"/>
      <rgbColor rgb="FF33CCCC"/>
      <rgbColor rgb="FF99CC00"/>
      <rgbColor rgb="FFFFCC00"/>
      <rgbColor rgb="FFFF9900"/>
      <rgbColor rgb="FFFF6600"/>
      <rgbColor rgb="FF666666"/>
      <rgbColor rgb="FF969696"/>
      <rgbColor rgb="FF1F3864"/>
      <rgbColor rgb="FF339966"/>
      <rgbColor rgb="FF003300"/>
      <rgbColor rgb="FF1E4620"/>
      <rgbColor rgb="FF993300"/>
      <rgbColor rgb="FF993366"/>
      <rgbColor rgb="FF2E4D8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VendorRegister" displayName="VendorRegister" ref="A3:V11" totalsRowShown="0">
  <autoFilter ref="A3:V11" xr:uid="{00000000-0009-0000-0100-000004000000}"/>
  <tableColumns count="22">
    <tableColumn id="1" xr3:uid="{00000000-0010-0000-0000-000001000000}" name="Vendor ID"/>
    <tableColumn id="2" xr3:uid="{00000000-0010-0000-0000-000002000000}" name="Company Name"/>
    <tableColumn id="3" xr3:uid="{00000000-0010-0000-0000-000003000000}" name="Vendor_x000a_Type"/>
    <tableColumn id="4" xr3:uid="{00000000-0010-0000-0000-000004000000}" name="Primary_x000a_Agmt Type"/>
    <tableColumn id="5" xr3:uid="{00000000-0010-0000-0000-000005000000}" name="Agmt_x000a_Number"/>
    <tableColumn id="6" xr3:uid="{00000000-0010-0000-0000-000006000000}" name="Payment_x000a_Terms"/>
    <tableColumn id="7" xr3:uid="{00000000-0010-0000-0000-000007000000}" name="PoP Start"/>
    <tableColumn id="8" xr3:uid="{00000000-0010-0000-0000-000008000000}" name="PoP End"/>
    <tableColumn id="9" xr3:uid="{00000000-0010-0000-0000-000009000000}" name="Days to_x000a_PoP End"/>
    <tableColumn id="10" xr3:uid="{00000000-0010-0000-0000-00000A000000}" name="Branch_x000a_Supporting"/>
    <tableColumn id="11" xr3:uid="{00000000-0010-0000-0000-00000B000000}" name="POC Name"/>
    <tableColumn id="12" xr3:uid="{00000000-0010-0000-0000-00000C000000}" name="POC Email"/>
    <tableColumn id="13" xr3:uid="{00000000-0010-0000-0000-00000D000000}" name="NDA_x000a_On File"/>
    <tableColumn id="14" xr3:uid="{00000000-0010-0000-0000-00000E000000}" name="NDA_x000a_Expiry"/>
    <tableColumn id="15" xr3:uid="{00000000-0010-0000-0000-00000F000000}" name="Current_x000a_Ceiling ($)"/>
    <tableColumn id="16" xr3:uid="{00000000-0010-0000-0000-000010000000}" name="Current_x000a_Funded ($)" dataDxfId="17">
      <calculatedColumnFormula>IFERROR(_xlfn.MAXIFS('Mod Log'!$M:$M,'Mod Log'!$A:$A,A4),0)</calculatedColumnFormula>
    </tableColumn>
    <tableColumn id="17" xr3:uid="{00000000-0010-0000-0000-000011000000}" name="Invoiced_x000a_Approved ($)"/>
    <tableColumn id="18" xr3:uid="{00000000-0010-0000-0000-000012000000}" name="Remaining_x000a_Funded ($)"/>
    <tableColumn id="19" xr3:uid="{00000000-0010-0000-0000-000013000000}" name="% Burned_x000a_(Funded)"/>
    <tableColumn id="20" xr3:uid="{00000000-0010-0000-0000-000014000000}" name="% Burned_x000a_(Ceiling)"/>
    <tableColumn id="21" xr3:uid="{00000000-0010-0000-0000-000015000000}" name="Funding_x000a_Health"/>
    <tableColumn id="22" xr3:uid="{00000000-0010-0000-0000-000016000000}" name="Agreement_x000a_Statu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ModLog" displayName="ModLog" ref="A3:Q12" totalsRowShown="0">
  <autoFilter ref="A3:Q12" xr:uid="{00000000-0009-0000-0100-000003000000}"/>
  <tableColumns count="17">
    <tableColumn id="1" xr3:uid="{00000000-0010-0000-0100-000001000000}" name="Vendor ID"/>
    <tableColumn id="2" xr3:uid="{00000000-0010-0000-0100-000002000000}" name="Company Name"/>
    <tableColumn id="3" xr3:uid="{00000000-0010-0000-0100-000003000000}" name="Agmt_x000a_Number"/>
    <tableColumn id="4" xr3:uid="{00000000-0010-0000-0100-000004000000}" name="Mod_x000a_Number"/>
    <tableColumn id="5" xr3:uid="{00000000-0010-0000-0100-000005000000}" name="Effective_x000a_Date"/>
    <tableColumn id="6" xr3:uid="{00000000-0010-0000-0100-000006000000}" name="Mod Categories_x000a_(select all that apply)"/>
    <tableColumn id="7" xr3:uid="{00000000-0010-0000-0100-000007000000}" name="Description"/>
    <tableColumn id="8" xr3:uid="{00000000-0010-0000-0100-000008000000}" name="Ceiling_x000a_From ($)"/>
    <tableColumn id="9" xr3:uid="{00000000-0010-0000-0100-000009000000}" name="Ceiling_x000a_By ($)"/>
    <tableColumn id="10" xr3:uid="{00000000-0010-0000-0100-00000A000000}" name="Ceiling_x000a_To ($)"/>
    <tableColumn id="11" xr3:uid="{00000000-0010-0000-0100-00000B000000}" name="Funded_x000a_From ($)"/>
    <tableColumn id="12" xr3:uid="{00000000-0010-0000-0100-00000C000000}" name="Funded_x000a_By ($)"/>
    <tableColumn id="13" xr3:uid="{00000000-0010-0000-0100-00000D000000}" name="Funded_x000a_To ($)"/>
    <tableColumn id="14" xr3:uid="{00000000-0010-0000-0100-00000E000000}" name="Previous_x000a_PoP End"/>
    <tableColumn id="15" xr3:uid="{00000000-0010-0000-0100-00000F000000}" name="New_x000a_PoP End"/>
    <tableColumn id="16" xr3:uid="{00000000-0010-0000-0100-000010000000}" name="Approved_x000a_By"/>
    <tableColumn id="17" xr3:uid="{00000000-0010-0000-0100-000011000000}" name="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InvoiceLog" displayName="InvoiceLog" ref="A3:K16" totalsRowShown="0">
  <autoFilter ref="A3:K16" xr:uid="{00000000-0009-0000-0100-000001000000}"/>
  <tableColumns count="11">
    <tableColumn id="1" xr3:uid="{00000000-0010-0000-0200-000001000000}" name="Vendor ID"/>
    <tableColumn id="2" xr3:uid="{00000000-0010-0000-0200-000002000000}" name="Company Name"/>
    <tableColumn id="3" xr3:uid="{00000000-0010-0000-0200-000003000000}" name="Invoice_x000a_Number"/>
    <tableColumn id="4" xr3:uid="{00000000-0010-0000-0200-000004000000}" name="Date_x000a_Submitted"/>
    <tableColumn id="5" xr3:uid="{00000000-0010-0000-0200-000005000000}" name="Period of_x000a_Performance"/>
    <tableColumn id="6" xr3:uid="{00000000-0010-0000-0200-000006000000}" name="Invoice_x000a_Amount ($)"/>
    <tableColumn id="7" xr3:uid="{00000000-0010-0000-0200-000007000000}" name="Approval_x000a_Status"/>
    <tableColumn id="8" xr3:uid="{00000000-0010-0000-0200-000008000000}" name="PM Approved_x000a_By"/>
    <tableColumn id="9" xr3:uid="{00000000-0010-0000-0200-000009000000}" name="Date_x000a_Approved"/>
    <tableColumn id="10" xr3:uid="{00000000-0010-0000-0200-00000A000000}" name="Cumul. Approved_x000a_This Vendor ($)"/>
    <tableColumn id="11" xr3:uid="{00000000-0010-0000-0200-00000B000000}" name="Not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LicenseRegister" displayName="LicenseRegister" ref="A3:Q12" totalsRowShown="0">
  <autoFilter ref="A3:Q12" xr:uid="{00000000-0009-0000-0100-000002000000}"/>
  <tableColumns count="17">
    <tableColumn id="1" xr3:uid="{00000000-0010-0000-0300-000001000000}" name="License ID"/>
    <tableColumn id="2" xr3:uid="{00000000-0010-0000-0300-000002000000}" name="Vendor"/>
    <tableColumn id="3" xr3:uid="{00000000-0010-0000-0300-000003000000}" name="Product / Service"/>
    <tableColumn id="4" xr3:uid="{00000000-0010-0000-0300-000004000000}" name="Category"/>
    <tableColumn id="5" xr3:uid="{00000000-0010-0000-0300-000005000000}" name="License_x000a_Type"/>
    <tableColumn id="6" xr3:uid="{00000000-0010-0000-0300-000006000000}" name="# Seats /_x000a_Units"/>
    <tableColumn id="7" xr3:uid="{00000000-0010-0000-0300-000007000000}" name="Branch_x000a_Using"/>
    <tableColumn id="8" xr3:uid="{00000000-0010-0000-0300-000008000000}" name="Annual_x000a_Cost ($)"/>
    <tableColumn id="9" xr3:uid="{00000000-0010-0000-0300-000009000000}" name="Total_x000a_Contract ($)"/>
    <tableColumn id="10" xr3:uid="{00000000-0010-0000-0300-00000A000000}" name="Purchase_x000a_Date"/>
    <tableColumn id="11" xr3:uid="{00000000-0010-0000-0300-00000B000000}" name="Expiry_x000a_Date"/>
    <tableColumn id="12" xr3:uid="{00000000-0010-0000-0300-00000C000000}" name="Days to_x000a_Renewal"/>
    <tableColumn id="13" xr3:uid="{00000000-0010-0000-0300-00000D000000}" name="Auto-_x000a_Renew?"/>
    <tableColumn id="14" xr3:uid="{00000000-0010-0000-0300-00000E000000}" name="Renewal Action Required"/>
    <tableColumn id="15" xr3:uid="{00000000-0010-0000-0300-00000F000000}" name="PO / Ref #"/>
    <tableColumn id="16" xr3:uid="{00000000-0010-0000-0300-000010000000}" name="Subscription_x000a_POC Name"/>
    <tableColumn id="17" xr3:uid="{00000000-0010-0000-0300-000011000000}" name="Subscription_x000a_POC Emai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C383C30-4DC3-4B71-8C13-F9596A8B5D13}">
  <we:reference id="wa200009404" version="1.0.0.8" store="en-US" storeType="OMEX"/>
  <we:alternateReferences>
    <we:reference id="wa200009404" version="1.0.0.8" store="en-US" storeType="OMEX"/>
  </we:alternateReferences>
  <we:properties>
    <we:property name="claude.fileId" value="&quot;ef30c1ea-b500-41c3-ab04-28c38d6ddad7&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showGridLines="0" tabSelected="1" topLeftCell="A7" zoomScaleNormal="100" workbookViewId="0">
      <selection sqref="A1:C1"/>
    </sheetView>
  </sheetViews>
  <sheetFormatPr defaultColWidth="8.6328125" defaultRowHeight="14.5" x14ac:dyDescent="0.35"/>
  <cols>
    <col min="1" max="1" width="28" customWidth="1"/>
    <col min="2" max="2" width="44" customWidth="1"/>
    <col min="3" max="3" width="20" customWidth="1"/>
  </cols>
  <sheetData>
    <row r="1" spans="1:3" ht="36" customHeight="1" x14ac:dyDescent="0.35">
      <c r="A1" s="14" t="s">
        <v>0</v>
      </c>
      <c r="B1" s="14"/>
      <c r="C1" s="14"/>
    </row>
    <row r="2" spans="1:3" ht="19.5" customHeight="1" x14ac:dyDescent="0.35">
      <c r="A2" s="13" t="s">
        <v>1</v>
      </c>
      <c r="B2" s="13"/>
      <c r="C2" s="13"/>
    </row>
    <row r="4" spans="1:3" ht="27.75" customHeight="1" x14ac:dyDescent="0.35">
      <c r="A4" s="15" t="s">
        <v>2</v>
      </c>
      <c r="B4" s="15" t="s">
        <v>3</v>
      </c>
      <c r="C4" s="15" t="s">
        <v>4</v>
      </c>
    </row>
    <row r="5" spans="1:3" ht="51.75" customHeight="1" x14ac:dyDescent="0.35">
      <c r="A5" s="16" t="s">
        <v>5</v>
      </c>
      <c r="B5" s="16" t="s">
        <v>6</v>
      </c>
      <c r="C5" s="16" t="s">
        <v>7</v>
      </c>
    </row>
    <row r="6" spans="1:3" ht="51.75" customHeight="1" x14ac:dyDescent="0.35">
      <c r="A6" s="17" t="s">
        <v>8</v>
      </c>
      <c r="B6" s="17" t="s">
        <v>9</v>
      </c>
      <c r="C6" s="17" t="s">
        <v>10</v>
      </c>
    </row>
    <row r="7" spans="1:3" ht="51.75" customHeight="1" x14ac:dyDescent="0.35">
      <c r="A7" s="16" t="s">
        <v>11</v>
      </c>
      <c r="B7" s="16" t="s">
        <v>12</v>
      </c>
      <c r="C7" s="16" t="s">
        <v>13</v>
      </c>
    </row>
    <row r="8" spans="1:3" ht="51.75" customHeight="1" x14ac:dyDescent="0.35">
      <c r="A8" s="17" t="s">
        <v>14</v>
      </c>
      <c r="B8" s="17" t="s">
        <v>15</v>
      </c>
      <c r="C8" s="17" t="s">
        <v>16</v>
      </c>
    </row>
    <row r="9" spans="1:3" ht="51.75" customHeight="1" x14ac:dyDescent="0.35">
      <c r="A9" s="16" t="s">
        <v>17</v>
      </c>
      <c r="B9" s="16" t="s">
        <v>18</v>
      </c>
      <c r="C9" s="16" t="s">
        <v>19</v>
      </c>
    </row>
    <row r="11" spans="1:3" ht="24" customHeight="1" x14ac:dyDescent="0.35">
      <c r="A11" s="12" t="s">
        <v>20</v>
      </c>
      <c r="B11" s="12"/>
      <c r="C11" s="12"/>
    </row>
    <row r="12" spans="1:3" ht="51.75" customHeight="1" x14ac:dyDescent="0.35">
      <c r="A12" s="18" t="s">
        <v>21</v>
      </c>
      <c r="B12" s="11" t="s">
        <v>22</v>
      </c>
      <c r="C12" s="11"/>
    </row>
    <row r="13" spans="1:3" ht="51.75" customHeight="1" x14ac:dyDescent="0.35">
      <c r="A13" s="20" t="s">
        <v>23</v>
      </c>
      <c r="B13" s="10" t="s">
        <v>24</v>
      </c>
      <c r="C13" s="10"/>
    </row>
    <row r="14" spans="1:3" ht="51.75" customHeight="1" x14ac:dyDescent="0.35">
      <c r="A14" s="18" t="s">
        <v>25</v>
      </c>
      <c r="B14" s="11" t="s">
        <v>26</v>
      </c>
      <c r="C14" s="11"/>
    </row>
    <row r="15" spans="1:3" ht="51.75" customHeight="1" x14ac:dyDescent="0.35">
      <c r="A15" s="20" t="s">
        <v>27</v>
      </c>
      <c r="B15" s="10" t="s">
        <v>28</v>
      </c>
      <c r="C15" s="10"/>
    </row>
    <row r="17" spans="1:3" ht="24" customHeight="1" x14ac:dyDescent="0.35">
      <c r="A17" s="12" t="s">
        <v>29</v>
      </c>
      <c r="B17" s="12"/>
      <c r="C17" s="12"/>
    </row>
    <row r="18" spans="1:3" ht="24" customHeight="1" x14ac:dyDescent="0.35">
      <c r="A18" s="15" t="s">
        <v>30</v>
      </c>
      <c r="B18" s="15" t="s">
        <v>31</v>
      </c>
    </row>
    <row r="19" spans="1:3" ht="43.5" customHeight="1" x14ac:dyDescent="0.35">
      <c r="A19" s="16" t="s">
        <v>32</v>
      </c>
      <c r="B19" s="9" t="s">
        <v>33</v>
      </c>
      <c r="C19" s="9"/>
    </row>
    <row r="20" spans="1:3" ht="43.5" customHeight="1" x14ac:dyDescent="0.35">
      <c r="A20" s="17" t="s">
        <v>34</v>
      </c>
      <c r="B20" s="8" t="s">
        <v>35</v>
      </c>
      <c r="C20" s="8"/>
    </row>
    <row r="21" spans="1:3" ht="43.5" customHeight="1" x14ac:dyDescent="0.35">
      <c r="A21" s="16" t="s">
        <v>36</v>
      </c>
      <c r="B21" s="9" t="s">
        <v>37</v>
      </c>
      <c r="C21" s="9"/>
    </row>
    <row r="22" spans="1:3" ht="43.5" customHeight="1" x14ac:dyDescent="0.35">
      <c r="A22" s="17" t="s">
        <v>38</v>
      </c>
      <c r="B22" s="8" t="s">
        <v>39</v>
      </c>
      <c r="C22" s="8"/>
    </row>
    <row r="23" spans="1:3" ht="43.5" customHeight="1" x14ac:dyDescent="0.35">
      <c r="A23" s="16" t="s">
        <v>40</v>
      </c>
      <c r="B23" s="9" t="s">
        <v>41</v>
      </c>
      <c r="C23" s="9"/>
    </row>
    <row r="24" spans="1:3" ht="43.5" customHeight="1" x14ac:dyDescent="0.35">
      <c r="A24" s="17" t="s">
        <v>42</v>
      </c>
      <c r="B24" s="8" t="s">
        <v>43</v>
      </c>
      <c r="C24" s="8"/>
    </row>
    <row r="25" spans="1:3" ht="24" customHeight="1" x14ac:dyDescent="0.35">
      <c r="A25" s="7" t="s">
        <v>44</v>
      </c>
      <c r="B25" s="7"/>
      <c r="C25" s="7"/>
    </row>
    <row r="26" spans="1:3" ht="43.5" customHeight="1" x14ac:dyDescent="0.35">
      <c r="A26" s="22" t="s">
        <v>45</v>
      </c>
      <c r="B26" s="6" t="s">
        <v>46</v>
      </c>
      <c r="C26" s="6"/>
    </row>
    <row r="27" spans="1:3" ht="43.5" customHeight="1" x14ac:dyDescent="0.35">
      <c r="A27" s="23" t="s">
        <v>47</v>
      </c>
      <c r="B27" s="5" t="s">
        <v>48</v>
      </c>
      <c r="C27" s="5"/>
    </row>
    <row r="28" spans="1:3" ht="43.5" customHeight="1" x14ac:dyDescent="0.35">
      <c r="A28" s="22" t="s">
        <v>49</v>
      </c>
      <c r="B28" s="6" t="s">
        <v>50</v>
      </c>
      <c r="C28" s="6"/>
    </row>
    <row r="29" spans="1:3" ht="43.5" customHeight="1" x14ac:dyDescent="0.35">
      <c r="A29" s="23" t="s">
        <v>51</v>
      </c>
      <c r="B29" s="5" t="s">
        <v>52</v>
      </c>
      <c r="C29" s="5"/>
    </row>
    <row r="30" spans="1:3" ht="43.5" customHeight="1" x14ac:dyDescent="0.35">
      <c r="A30" s="22" t="s">
        <v>53</v>
      </c>
      <c r="B30" s="6" t="s">
        <v>54</v>
      </c>
      <c r="C30" s="6"/>
    </row>
  </sheetData>
  <mergeCells count="20">
    <mergeCell ref="B26:C26"/>
    <mergeCell ref="B27:C27"/>
    <mergeCell ref="B28:C28"/>
    <mergeCell ref="B29:C29"/>
    <mergeCell ref="B30:C30"/>
    <mergeCell ref="B21:C21"/>
    <mergeCell ref="B22:C22"/>
    <mergeCell ref="B23:C23"/>
    <mergeCell ref="B24:C24"/>
    <mergeCell ref="A25:C25"/>
    <mergeCell ref="B14:C14"/>
    <mergeCell ref="B15:C15"/>
    <mergeCell ref="A17:C17"/>
    <mergeCell ref="B19:C19"/>
    <mergeCell ref="B20:C20"/>
    <mergeCell ref="A1:C1"/>
    <mergeCell ref="A2:C2"/>
    <mergeCell ref="A11:C11"/>
    <mergeCell ref="B12:C12"/>
    <mergeCell ref="B13:C1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9"/>
  <sheetViews>
    <sheetView showGridLines="0" topLeftCell="K1" zoomScale="86" zoomScaleNormal="100" workbookViewId="0">
      <pane ySplit="4" topLeftCell="A5" activePane="bottomLeft" state="frozen"/>
      <selection pane="bottomLeft" activeCell="R14" sqref="R14"/>
    </sheetView>
  </sheetViews>
  <sheetFormatPr defaultColWidth="8.6328125" defaultRowHeight="14.5" x14ac:dyDescent="0.35"/>
  <cols>
    <col min="1" max="1" width="12.1796875" customWidth="1"/>
    <col min="2" max="2" width="26" customWidth="1"/>
    <col min="3" max="3" width="16" customWidth="1"/>
    <col min="4" max="5" width="12" customWidth="1"/>
    <col min="6" max="6" width="10" customWidth="1"/>
    <col min="7" max="7" width="16.08984375" customWidth="1"/>
    <col min="8" max="8" width="18.6328125" customWidth="1"/>
    <col min="9" max="9" width="11" customWidth="1"/>
    <col min="10" max="10" width="24" customWidth="1"/>
    <col min="11" max="11" width="18" customWidth="1"/>
    <col min="12" max="12" width="28" customWidth="1"/>
    <col min="13" max="13" width="10" customWidth="1"/>
    <col min="14" max="14" width="12" customWidth="1"/>
    <col min="15" max="18" width="16" customWidth="1"/>
    <col min="19" max="20" width="13" customWidth="1"/>
    <col min="21" max="21" width="24" customWidth="1"/>
    <col min="22" max="22" width="14" customWidth="1"/>
  </cols>
  <sheetData>
    <row r="1" spans="1:22" ht="36" customHeight="1" x14ac:dyDescent="0.35">
      <c r="A1" s="14" t="s">
        <v>55</v>
      </c>
      <c r="B1" s="14"/>
      <c r="C1" s="14"/>
      <c r="D1" s="14"/>
      <c r="E1" s="14"/>
      <c r="F1" s="14"/>
      <c r="G1" s="14"/>
      <c r="H1" s="14"/>
      <c r="I1" s="14"/>
      <c r="J1" s="14"/>
      <c r="K1" s="14"/>
      <c r="L1" s="14"/>
      <c r="M1" s="14"/>
      <c r="N1" s="14"/>
      <c r="O1" s="14"/>
      <c r="P1" s="14"/>
      <c r="Q1" s="14"/>
      <c r="R1" s="14"/>
      <c r="S1" s="14"/>
      <c r="T1" s="14"/>
      <c r="U1" s="14"/>
      <c r="V1" s="14"/>
    </row>
    <row r="2" spans="1:22" ht="21.75" customHeight="1" x14ac:dyDescent="0.35">
      <c r="A2" s="4" t="s">
        <v>56</v>
      </c>
      <c r="B2" s="4"/>
      <c r="C2" s="4"/>
      <c r="D2" s="4"/>
      <c r="E2" s="4"/>
      <c r="F2" s="4"/>
      <c r="G2" s="4"/>
      <c r="H2" s="4"/>
      <c r="I2" s="4"/>
      <c r="J2" s="4"/>
      <c r="K2" s="4"/>
      <c r="L2" s="4"/>
      <c r="M2" s="4"/>
      <c r="N2" s="4"/>
      <c r="O2" s="4"/>
      <c r="P2" s="4"/>
      <c r="Q2" s="4"/>
      <c r="R2" s="4"/>
      <c r="S2" s="4"/>
      <c r="T2" s="4"/>
      <c r="U2" s="4"/>
      <c r="V2" s="4"/>
    </row>
    <row r="3" spans="1:22" ht="51.75" customHeight="1" x14ac:dyDescent="0.35">
      <c r="A3" s="24" t="s">
        <v>57</v>
      </c>
      <c r="B3" s="24" t="s">
        <v>58</v>
      </c>
      <c r="C3" s="24" t="s">
        <v>59</v>
      </c>
      <c r="D3" s="24" t="s">
        <v>60</v>
      </c>
      <c r="E3" s="24" t="s">
        <v>61</v>
      </c>
      <c r="F3" s="24" t="s">
        <v>62</v>
      </c>
      <c r="G3" s="24" t="s">
        <v>63</v>
      </c>
      <c r="H3" s="24" t="s">
        <v>64</v>
      </c>
      <c r="I3" s="24" t="s">
        <v>65</v>
      </c>
      <c r="J3" s="24" t="s">
        <v>66</v>
      </c>
      <c r="K3" s="24" t="s">
        <v>67</v>
      </c>
      <c r="L3" s="24" t="s">
        <v>68</v>
      </c>
      <c r="M3" s="24" t="s">
        <v>69</v>
      </c>
      <c r="N3" s="24" t="s">
        <v>70</v>
      </c>
      <c r="O3" s="24" t="s">
        <v>71</v>
      </c>
      <c r="P3" s="24" t="s">
        <v>72</v>
      </c>
      <c r="Q3" s="24" t="s">
        <v>73</v>
      </c>
      <c r="R3" s="24" t="s">
        <v>74</v>
      </c>
      <c r="S3" s="24" t="s">
        <v>75</v>
      </c>
      <c r="T3" s="24" t="s">
        <v>76</v>
      </c>
      <c r="U3" s="24" t="s">
        <v>77</v>
      </c>
      <c r="V3" s="24" t="s">
        <v>78</v>
      </c>
    </row>
    <row r="4" spans="1:22" ht="36" customHeight="1" x14ac:dyDescent="0.35">
      <c r="A4" s="25" t="s">
        <v>79</v>
      </c>
      <c r="B4" s="25" t="s">
        <v>80</v>
      </c>
      <c r="C4" s="25" t="s">
        <v>81</v>
      </c>
      <c r="D4" s="25" t="s">
        <v>82</v>
      </c>
      <c r="E4" s="25" t="s">
        <v>83</v>
      </c>
      <c r="F4" s="25" t="s">
        <v>84</v>
      </c>
      <c r="G4" s="25" t="s">
        <v>85</v>
      </c>
      <c r="H4" s="25" t="s">
        <v>85</v>
      </c>
      <c r="I4" s="25" t="s">
        <v>86</v>
      </c>
      <c r="J4" s="25" t="s">
        <v>87</v>
      </c>
      <c r="K4" s="25" t="s">
        <v>88</v>
      </c>
      <c r="L4" s="25" t="s">
        <v>89</v>
      </c>
      <c r="M4" s="25" t="s">
        <v>90</v>
      </c>
      <c r="N4" s="25" t="s">
        <v>85</v>
      </c>
      <c r="O4" s="25" t="s">
        <v>91</v>
      </c>
      <c r="P4" s="55">
        <f>IFERROR(_xlfn.MAXIFS('Mod Log'!$M:$M,'Mod Log'!$A:$A,A4),0)</f>
        <v>0</v>
      </c>
      <c r="Q4" s="25" t="s">
        <v>92</v>
      </c>
      <c r="R4" s="25" t="s">
        <v>86</v>
      </c>
      <c r="S4" s="25" t="s">
        <v>86</v>
      </c>
      <c r="T4" s="25" t="s">
        <v>86</v>
      </c>
      <c r="U4" s="25" t="s">
        <v>86</v>
      </c>
      <c r="V4" s="25" t="s">
        <v>93</v>
      </c>
    </row>
    <row r="5" spans="1:22" ht="36" customHeight="1" x14ac:dyDescent="0.35">
      <c r="A5" s="26" t="s">
        <v>94</v>
      </c>
      <c r="B5" s="27" t="s">
        <v>95</v>
      </c>
      <c r="C5" s="27" t="s">
        <v>96</v>
      </c>
      <c r="D5" s="27" t="s">
        <v>97</v>
      </c>
      <c r="E5" s="27" t="s">
        <v>98</v>
      </c>
      <c r="F5" s="27" t="s">
        <v>99</v>
      </c>
      <c r="G5" s="27"/>
      <c r="H5" s="27"/>
      <c r="I5" s="28" t="str">
        <f ca="1">IF(N(H5)+IFERROR(DATEVALUE(H5),0)=0,"—",IF(ISNUMBER(H5),H5,DATEVALUE(H5))-TODAY())</f>
        <v>—</v>
      </c>
      <c r="J5" s="27" t="s">
        <v>100</v>
      </c>
      <c r="K5" s="27" t="s">
        <v>101</v>
      </c>
      <c r="L5" s="27" t="s">
        <v>102</v>
      </c>
      <c r="M5" s="27" t="s">
        <v>103</v>
      </c>
      <c r="N5" s="27"/>
      <c r="O5" s="29">
        <f ca="1">IFERROR(_xludf.maxifs('Mod Log'!$J:$J,'Mod Log'!$A:$A,A5),0)</f>
        <v>0</v>
      </c>
      <c r="P5" s="29">
        <f>IFERROR(_xlfn.MAXIFS('Mod Log'!$M:$M,'Mod Log'!$A:$A,A5),0)</f>
        <v>0</v>
      </c>
      <c r="Q5" s="29">
        <f>SUMIFS('Invoice Log'!$F:$F,'Invoice Log'!$A:$A,A5,'Invoice Log'!$G:$G,"Approved")</f>
        <v>0</v>
      </c>
      <c r="R5" s="29">
        <f t="shared" ref="R5:R10" si="0">P5-Q5</f>
        <v>0</v>
      </c>
      <c r="S5" s="30">
        <f t="shared" ref="S5:S10" si="1">IF(P5&gt;0,Q5/P5,0)</f>
        <v>0</v>
      </c>
      <c r="T5" s="30">
        <f t="shared" ref="T5:T10" ca="1" si="2">IF(O5&gt;0,Q5/O5,0)</f>
        <v>0</v>
      </c>
      <c r="U5" s="28" t="str">
        <f t="shared" ref="U5:U10" si="3">IF(P5=0,"—",IF(S5&gt;=0.9,"🔴 Critical — Near Cap",IF(S5&gt;=0.75,"🟡 Warning — &gt;75% Burned","🟢 Healthy")))</f>
        <v>—</v>
      </c>
      <c r="V5" s="27" t="s">
        <v>104</v>
      </c>
    </row>
    <row r="6" spans="1:22" ht="36" customHeight="1" x14ac:dyDescent="0.35">
      <c r="A6" s="19" t="s">
        <v>105</v>
      </c>
      <c r="B6" s="19" t="s">
        <v>106</v>
      </c>
      <c r="C6" s="19" t="s">
        <v>96</v>
      </c>
      <c r="D6" s="19" t="s">
        <v>97</v>
      </c>
      <c r="E6" s="19" t="s">
        <v>107</v>
      </c>
      <c r="F6" s="19" t="s">
        <v>99</v>
      </c>
      <c r="G6" s="58">
        <v>46113</v>
      </c>
      <c r="H6" s="58">
        <v>46477</v>
      </c>
      <c r="I6" s="56">
        <f t="shared" ref="I6:I11" ca="1" si="4">IF(N(H6)+IFERROR(DATEVALUE(H6),0)=0,"—",IF(ISNUMBER(H6),H6,DATEVALUE(H6))-TODAY())</f>
        <v>281</v>
      </c>
      <c r="J6" s="19" t="s">
        <v>110</v>
      </c>
      <c r="K6" s="19" t="s">
        <v>111</v>
      </c>
      <c r="L6" s="19" t="s">
        <v>112</v>
      </c>
      <c r="M6" s="19" t="s">
        <v>103</v>
      </c>
      <c r="N6" s="19" t="s">
        <v>113</v>
      </c>
      <c r="O6" s="32">
        <f ca="1">IFERROR(_xludf.maxifs('Mod Log'!$J:$J,'Mod Log'!$A:$A,A6),0)</f>
        <v>0</v>
      </c>
      <c r="P6" s="32">
        <f>IFERROR(_xlfn.MAXIFS('Mod Log'!$M:$M,'Mod Log'!$A:$A,A6),0)</f>
        <v>150000</v>
      </c>
      <c r="Q6" s="32">
        <f>SUMIFS('Invoice Log'!$F:$F,'Invoice Log'!$A:$A,A6,'Invoice Log'!$G:$G,"Approved")</f>
        <v>60700</v>
      </c>
      <c r="R6" s="32">
        <f t="shared" si="0"/>
        <v>89300</v>
      </c>
      <c r="S6" s="33">
        <f t="shared" si="1"/>
        <v>0.40466666666666667</v>
      </c>
      <c r="T6" s="33">
        <f t="shared" ca="1" si="2"/>
        <v>0</v>
      </c>
      <c r="U6" s="19" t="str">
        <f t="shared" si="3"/>
        <v>🟢 Healthy</v>
      </c>
      <c r="V6" s="19" t="s">
        <v>104</v>
      </c>
    </row>
    <row r="7" spans="1:22" ht="36" customHeight="1" x14ac:dyDescent="0.35">
      <c r="A7" s="21" t="s">
        <v>114</v>
      </c>
      <c r="B7" s="21" t="s">
        <v>115</v>
      </c>
      <c r="C7" s="21" t="s">
        <v>96</v>
      </c>
      <c r="D7" s="21" t="s">
        <v>97</v>
      </c>
      <c r="E7" s="21" t="s">
        <v>116</v>
      </c>
      <c r="F7" s="21" t="s">
        <v>99</v>
      </c>
      <c r="G7" s="58">
        <v>46113</v>
      </c>
      <c r="H7" s="58">
        <v>46295</v>
      </c>
      <c r="I7" s="57">
        <f t="shared" ca="1" si="4"/>
        <v>99</v>
      </c>
      <c r="J7" s="21" t="s">
        <v>118</v>
      </c>
      <c r="K7" s="21" t="s">
        <v>119</v>
      </c>
      <c r="L7" s="21" t="s">
        <v>120</v>
      </c>
      <c r="M7" s="21" t="s">
        <v>103</v>
      </c>
      <c r="N7" s="21" t="s">
        <v>113</v>
      </c>
      <c r="O7" s="35">
        <f ca="1">IFERROR(_xludf.maxifs('Mod Log'!$J:$J,'Mod Log'!$A:$A,A7),0)</f>
        <v>0</v>
      </c>
      <c r="P7" s="35">
        <f>IFERROR(_xlfn.MAXIFS('Mod Log'!$M:$M,'Mod Log'!$A:$A,A7),0)</f>
        <v>80000</v>
      </c>
      <c r="Q7" s="35">
        <f>SUMIFS('Invoice Log'!$F:$F,'Invoice Log'!$A:$A,A7,'Invoice Log'!$G:$G,"Approved")</f>
        <v>33000</v>
      </c>
      <c r="R7" s="35">
        <f t="shared" si="0"/>
        <v>47000</v>
      </c>
      <c r="S7" s="36">
        <f t="shared" si="1"/>
        <v>0.41249999999999998</v>
      </c>
      <c r="T7" s="36">
        <f t="shared" ca="1" si="2"/>
        <v>0</v>
      </c>
      <c r="U7" s="21" t="str">
        <f t="shared" si="3"/>
        <v>🟢 Healthy</v>
      </c>
      <c r="V7" s="21" t="s">
        <v>104</v>
      </c>
    </row>
    <row r="8" spans="1:22" ht="36" customHeight="1" x14ac:dyDescent="0.35">
      <c r="A8" s="19" t="s">
        <v>121</v>
      </c>
      <c r="B8" s="19" t="s">
        <v>122</v>
      </c>
      <c r="C8" s="19" t="s">
        <v>96</v>
      </c>
      <c r="D8" s="19" t="s">
        <v>123</v>
      </c>
      <c r="E8" s="19" t="s">
        <v>124</v>
      </c>
      <c r="F8" s="19" t="s">
        <v>125</v>
      </c>
      <c r="G8" s="58">
        <v>46023</v>
      </c>
      <c r="H8" s="58">
        <v>46387</v>
      </c>
      <c r="I8" s="56">
        <f t="shared" ca="1" si="4"/>
        <v>191</v>
      </c>
      <c r="J8" s="19" t="s">
        <v>128</v>
      </c>
      <c r="K8" s="19" t="s">
        <v>129</v>
      </c>
      <c r="L8" s="19" t="s">
        <v>130</v>
      </c>
      <c r="M8" s="19" t="s">
        <v>103</v>
      </c>
      <c r="N8" s="19" t="s">
        <v>113</v>
      </c>
      <c r="O8" s="32">
        <f ca="1">IFERROR(_xludf.maxifs('Mod Log'!$J:$J,'Mod Log'!$A:$A,A8),0)</f>
        <v>0</v>
      </c>
      <c r="P8" s="32">
        <f>IFERROR(_xlfn.MAXIFS('Mod Log'!$M:$M,'Mod Log'!$A:$A,A8),0)</f>
        <v>60000</v>
      </c>
      <c r="Q8" s="32">
        <f>SUMIFS('Invoice Log'!$F:$F,'Invoice Log'!$A:$A,A8,'Invoice Log'!$G:$G,"Approved")</f>
        <v>16000</v>
      </c>
      <c r="R8" s="32">
        <f t="shared" si="0"/>
        <v>44000</v>
      </c>
      <c r="S8" s="33">
        <f t="shared" si="1"/>
        <v>0.26666666666666666</v>
      </c>
      <c r="T8" s="33">
        <f t="shared" ca="1" si="2"/>
        <v>0</v>
      </c>
      <c r="U8" s="19" t="str">
        <f t="shared" si="3"/>
        <v>🟢 Healthy</v>
      </c>
      <c r="V8" s="19" t="s">
        <v>104</v>
      </c>
    </row>
    <row r="9" spans="1:22" ht="36" customHeight="1" x14ac:dyDescent="0.35">
      <c r="A9" s="21" t="s">
        <v>131</v>
      </c>
      <c r="B9" s="21" t="s">
        <v>132</v>
      </c>
      <c r="C9" s="21" t="s">
        <v>133</v>
      </c>
      <c r="D9" s="21" t="s">
        <v>134</v>
      </c>
      <c r="E9" s="21" t="s">
        <v>135</v>
      </c>
      <c r="F9" s="21" t="s">
        <v>99</v>
      </c>
      <c r="G9" s="58">
        <v>46143</v>
      </c>
      <c r="H9" s="58">
        <v>46326</v>
      </c>
      <c r="I9" s="57">
        <f t="shared" ca="1" si="4"/>
        <v>130</v>
      </c>
      <c r="J9" s="21" t="s">
        <v>138</v>
      </c>
      <c r="K9" s="21" t="s">
        <v>139</v>
      </c>
      <c r="L9" s="21" t="s">
        <v>140</v>
      </c>
      <c r="M9" s="21" t="s">
        <v>103</v>
      </c>
      <c r="N9" s="54">
        <v>46207</v>
      </c>
      <c r="O9" s="35">
        <f ca="1">IFERROR(_xludf.maxifs('Mod Log'!$J:$J,'Mod Log'!$A:$A,A9),0)</f>
        <v>0</v>
      </c>
      <c r="P9" s="35">
        <f>IFERROR(_xlfn.MAXIFS('Mod Log'!$M:$M,'Mod Log'!$A:$A,A9),0)</f>
        <v>35000</v>
      </c>
      <c r="Q9" s="35">
        <f>SUMIFS('Invoice Log'!$F:$F,'Invoice Log'!$A:$A,A9,'Invoice Log'!$G:$G,"Approved")</f>
        <v>0</v>
      </c>
      <c r="R9" s="35">
        <f t="shared" si="0"/>
        <v>35000</v>
      </c>
      <c r="S9" s="36">
        <f t="shared" si="1"/>
        <v>0</v>
      </c>
      <c r="T9" s="36">
        <f t="shared" ca="1" si="2"/>
        <v>0</v>
      </c>
      <c r="U9" s="21" t="str">
        <f t="shared" si="3"/>
        <v>🟢 Healthy</v>
      </c>
      <c r="V9" s="21" t="s">
        <v>104</v>
      </c>
    </row>
    <row r="10" spans="1:22" ht="36" customHeight="1" x14ac:dyDescent="0.35">
      <c r="A10" s="19" t="s">
        <v>142</v>
      </c>
      <c r="B10" s="19" t="s">
        <v>143</v>
      </c>
      <c r="C10" s="19" t="s">
        <v>96</v>
      </c>
      <c r="D10" s="19" t="s">
        <v>97</v>
      </c>
      <c r="E10" s="19" t="s">
        <v>144</v>
      </c>
      <c r="F10" s="19" t="s">
        <v>99</v>
      </c>
      <c r="G10" s="58">
        <v>46113</v>
      </c>
      <c r="H10" s="58">
        <v>46477</v>
      </c>
      <c r="I10" s="56">
        <f t="shared" ca="1" si="4"/>
        <v>281</v>
      </c>
      <c r="J10" s="19" t="s">
        <v>110</v>
      </c>
      <c r="K10" s="19" t="s">
        <v>145</v>
      </c>
      <c r="L10" s="19" t="s">
        <v>146</v>
      </c>
      <c r="M10" s="19" t="s">
        <v>103</v>
      </c>
      <c r="N10" s="19" t="s">
        <v>113</v>
      </c>
      <c r="O10" s="32">
        <f ca="1">IFERROR(_xludf.maxifs('Mod Log'!$J:$J,'Mod Log'!$A:$A,A10),0)</f>
        <v>0</v>
      </c>
      <c r="P10" s="32">
        <f>IFERROR(_xlfn.MAXIFS('Mod Log'!$M:$M,'Mod Log'!$A:$A,A10),0)</f>
        <v>90000</v>
      </c>
      <c r="Q10" s="32">
        <f>SUMIFS('Invoice Log'!$F:$F,'Invoice Log'!$A:$A,A10,'Invoice Log'!$G:$G,"Approved")</f>
        <v>50500</v>
      </c>
      <c r="R10" s="32">
        <f t="shared" si="0"/>
        <v>39500</v>
      </c>
      <c r="S10" s="33">
        <f t="shared" si="1"/>
        <v>0.56111111111111112</v>
      </c>
      <c r="T10" s="33">
        <f t="shared" ca="1" si="2"/>
        <v>0</v>
      </c>
      <c r="U10" s="19" t="str">
        <f t="shared" si="3"/>
        <v>🟢 Healthy</v>
      </c>
      <c r="V10" s="19" t="s">
        <v>104</v>
      </c>
    </row>
    <row r="11" spans="1:22" ht="41" customHeight="1" x14ac:dyDescent="0.35">
      <c r="A11" s="21" t="s">
        <v>352</v>
      </c>
      <c r="B11" s="21" t="s">
        <v>353</v>
      </c>
      <c r="C11" s="21" t="s">
        <v>96</v>
      </c>
      <c r="D11" s="21" t="s">
        <v>97</v>
      </c>
      <c r="E11" s="21" t="s">
        <v>98</v>
      </c>
      <c r="F11" s="21" t="s">
        <v>99</v>
      </c>
      <c r="G11" s="58"/>
      <c r="H11" s="58"/>
      <c r="I11" s="57" t="str">
        <f t="shared" ca="1" si="4"/>
        <v>—</v>
      </c>
      <c r="J11" s="21"/>
      <c r="K11" s="21" t="s">
        <v>101</v>
      </c>
      <c r="L11" s="21" t="s">
        <v>102</v>
      </c>
      <c r="M11" s="21" t="s">
        <v>103</v>
      </c>
      <c r="N11" s="54">
        <v>46203</v>
      </c>
      <c r="O11" s="35">
        <f>IFERROR(_xlfn.SINGLE(_xlfn.MAXIFS('Mod Log'!$J:$J,'Mod Log'!$A:$A,A11)),0)</f>
        <v>30000</v>
      </c>
      <c r="P11" s="35">
        <f>IFERROR(_xlfn.MAXIFS('Mod Log'!$M:$M,'Mod Log'!$A:$A,A11),0)</f>
        <v>30000</v>
      </c>
      <c r="Q11" s="35">
        <f>SUMIFS('Invoice Log'!$F:$F,'Invoice Log'!$A:$A,A11,'Invoice Log'!$G:$G,"Approved")</f>
        <v>50000</v>
      </c>
      <c r="R11" s="35">
        <f t="shared" ref="R11" si="5">P11-Q11</f>
        <v>-20000</v>
      </c>
      <c r="S11" s="36">
        <f t="shared" ref="S11" si="6">IF(P11&gt;0,Q11/P11,0)</f>
        <v>1.6666666666666667</v>
      </c>
      <c r="T11" s="36">
        <f t="shared" ref="T11" si="7">IF(O11&gt;0,Q11/O11,0)</f>
        <v>1.6666666666666667</v>
      </c>
      <c r="U11" s="21" t="str">
        <f t="shared" ref="U11" si="8">IF(P11=0,"—",IF(S11&gt;=0.9,"🔴 Critical — Near Cap",IF(S11&gt;=0.75,"🟡 Warning — &gt;75% Burned","🟢 Healthy")))</f>
        <v>🔴 Critical — Near Cap</v>
      </c>
      <c r="V11" s="21" t="s">
        <v>104</v>
      </c>
    </row>
    <row r="29" spans="1:10" x14ac:dyDescent="0.35">
      <c r="A29" s="21"/>
      <c r="B29" s="21"/>
      <c r="C29" s="21"/>
      <c r="D29" s="21"/>
      <c r="E29" s="21"/>
      <c r="F29" s="21"/>
      <c r="G29" s="21"/>
      <c r="H29" s="21"/>
      <c r="I29" s="34"/>
      <c r="J29" s="21"/>
    </row>
  </sheetData>
  <mergeCells count="2">
    <mergeCell ref="A1:V1"/>
    <mergeCell ref="A2:V2"/>
  </mergeCells>
  <conditionalFormatting sqref="H6:H200">
    <cfRule type="expression" dxfId="16" priority="4">
      <formula>AND(ISNUMBER(H6),H6-TODAY()&lt;30,H6-TODAY()&gt;=0)</formula>
    </cfRule>
    <cfRule type="expression" dxfId="15" priority="5">
      <formula>AND(ISNUMBER(H6),H6-TODAY()&lt;90,H6-TODAY()&gt;=30)</formula>
    </cfRule>
  </conditionalFormatting>
  <conditionalFormatting sqref="N6:N200">
    <cfRule type="expression" dxfId="14" priority="6">
      <formula>AND(ISNUMBER(N6),N6-TODAY()&lt;30)</formula>
    </cfRule>
    <cfRule type="expression" dxfId="13" priority="7">
      <formula>AND(ISNUMBER(N6),N6-TODAY()&lt;90,N6-TODAY()&gt;=30)</formula>
    </cfRule>
  </conditionalFormatting>
  <conditionalFormatting sqref="U6:U200">
    <cfRule type="expression" dxfId="12" priority="2">
      <formula>LEFT(U6,2)="🔴"</formula>
    </cfRule>
    <cfRule type="expression" dxfId="11" priority="3">
      <formula>LEFT(U6,2)="🟡"</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
  <sheetViews>
    <sheetView showGridLines="0" zoomScaleNormal="100" workbookViewId="0">
      <pane ySplit="3" topLeftCell="A4" activePane="bottomLeft" state="frozen"/>
      <selection pane="bottomLeft" activeCell="P13" sqref="P13"/>
    </sheetView>
  </sheetViews>
  <sheetFormatPr defaultColWidth="8.6328125" defaultRowHeight="14.5" x14ac:dyDescent="0.35"/>
  <cols>
    <col min="1" max="1" width="10" customWidth="1"/>
    <col min="2" max="2" width="26" customWidth="1"/>
    <col min="3" max="3" width="12" customWidth="1"/>
    <col min="4" max="4" width="11" customWidth="1"/>
    <col min="5" max="5" width="13" customWidth="1"/>
    <col min="6" max="6" width="28" customWidth="1"/>
    <col min="7" max="7" width="44" customWidth="1"/>
    <col min="8" max="8" width="14" customWidth="1"/>
    <col min="9" max="9" width="13" customWidth="1"/>
    <col min="10" max="11" width="14" customWidth="1"/>
    <col min="12" max="12" width="13" customWidth="1"/>
    <col min="13" max="13" width="14" customWidth="1"/>
    <col min="14" max="15" width="13" customWidth="1"/>
    <col min="16" max="16" width="20" customWidth="1"/>
    <col min="17" max="17" width="34" customWidth="1"/>
  </cols>
  <sheetData>
    <row r="1" spans="1:17" ht="36" customHeight="1" x14ac:dyDescent="0.35">
      <c r="A1" s="14" t="s">
        <v>147</v>
      </c>
      <c r="B1" s="14"/>
      <c r="C1" s="14"/>
      <c r="D1" s="14"/>
      <c r="E1" s="14"/>
      <c r="F1" s="14"/>
      <c r="G1" s="14"/>
      <c r="H1" s="14"/>
      <c r="I1" s="14"/>
      <c r="J1" s="14"/>
      <c r="K1" s="14"/>
      <c r="L1" s="14"/>
      <c r="M1" s="14"/>
      <c r="N1" s="14"/>
      <c r="O1" s="14"/>
      <c r="P1" s="14"/>
      <c r="Q1" s="14"/>
    </row>
    <row r="2" spans="1:17" ht="19.5" customHeight="1" x14ac:dyDescent="0.35">
      <c r="A2" s="4" t="s">
        <v>148</v>
      </c>
      <c r="B2" s="4"/>
      <c r="C2" s="4"/>
      <c r="D2" s="4"/>
      <c r="E2" s="4"/>
      <c r="F2" s="4"/>
      <c r="G2" s="4"/>
      <c r="H2" s="4"/>
      <c r="I2" s="4"/>
      <c r="J2" s="4"/>
      <c r="K2" s="4"/>
      <c r="L2" s="4"/>
      <c r="M2" s="4"/>
      <c r="N2" s="4"/>
      <c r="O2" s="4"/>
      <c r="P2" s="4"/>
      <c r="Q2" s="4"/>
    </row>
    <row r="3" spans="1:17" ht="51.75" customHeight="1" x14ac:dyDescent="0.35">
      <c r="A3" s="24" t="s">
        <v>57</v>
      </c>
      <c r="B3" s="24" t="s">
        <v>58</v>
      </c>
      <c r="C3" s="24" t="s">
        <v>61</v>
      </c>
      <c r="D3" s="24" t="s">
        <v>149</v>
      </c>
      <c r="E3" s="24" t="s">
        <v>150</v>
      </c>
      <c r="F3" s="24" t="s">
        <v>151</v>
      </c>
      <c r="G3" s="24" t="s">
        <v>152</v>
      </c>
      <c r="H3" s="24" t="s">
        <v>153</v>
      </c>
      <c r="I3" s="24" t="s">
        <v>154</v>
      </c>
      <c r="J3" s="24" t="s">
        <v>155</v>
      </c>
      <c r="K3" s="24" t="s">
        <v>156</v>
      </c>
      <c r="L3" s="24" t="s">
        <v>157</v>
      </c>
      <c r="M3" s="24" t="s">
        <v>158</v>
      </c>
      <c r="N3" s="24" t="s">
        <v>159</v>
      </c>
      <c r="O3" s="24" t="s">
        <v>160</v>
      </c>
      <c r="P3" s="24" t="s">
        <v>161</v>
      </c>
      <c r="Q3" s="24" t="s">
        <v>162</v>
      </c>
    </row>
    <row r="4" spans="1:17" ht="39.75" customHeight="1" x14ac:dyDescent="0.35">
      <c r="A4" s="19" t="s">
        <v>105</v>
      </c>
      <c r="B4" s="19" t="s">
        <v>106</v>
      </c>
      <c r="C4" s="19" t="s">
        <v>107</v>
      </c>
      <c r="D4" s="19" t="s">
        <v>163</v>
      </c>
      <c r="E4" s="19" t="s">
        <v>108</v>
      </c>
      <c r="F4" s="19" t="s">
        <v>32</v>
      </c>
      <c r="G4" s="19" t="s">
        <v>164</v>
      </c>
      <c r="H4" s="37">
        <v>0</v>
      </c>
      <c r="I4" s="37">
        <v>200000</v>
      </c>
      <c r="J4" s="37">
        <v>200000</v>
      </c>
      <c r="K4" s="37">
        <v>0</v>
      </c>
      <c r="L4" s="37">
        <v>150000</v>
      </c>
      <c r="M4" s="37">
        <v>150000</v>
      </c>
      <c r="N4" s="19"/>
      <c r="O4" s="19" t="s">
        <v>109</v>
      </c>
      <c r="P4" s="19" t="s">
        <v>165</v>
      </c>
      <c r="Q4" s="19" t="s">
        <v>166</v>
      </c>
    </row>
    <row r="5" spans="1:17" ht="39.75" customHeight="1" x14ac:dyDescent="0.35">
      <c r="A5" s="21" t="s">
        <v>105</v>
      </c>
      <c r="B5" s="21" t="s">
        <v>106</v>
      </c>
      <c r="C5" s="21" t="s">
        <v>107</v>
      </c>
      <c r="D5" s="21" t="s">
        <v>167</v>
      </c>
      <c r="E5" s="21" t="s">
        <v>168</v>
      </c>
      <c r="F5" s="21" t="s">
        <v>45</v>
      </c>
      <c r="G5" s="21" t="s">
        <v>169</v>
      </c>
      <c r="H5" s="38">
        <v>200000</v>
      </c>
      <c r="I5" s="38">
        <v>50000</v>
      </c>
      <c r="J5" s="38">
        <v>250000</v>
      </c>
      <c r="K5" s="38">
        <v>150000</v>
      </c>
      <c r="L5" s="38">
        <v>0</v>
      </c>
      <c r="M5" s="38">
        <v>150000</v>
      </c>
      <c r="N5" s="21" t="s">
        <v>109</v>
      </c>
      <c r="O5" s="21" t="s">
        <v>109</v>
      </c>
      <c r="P5" s="21" t="s">
        <v>165</v>
      </c>
      <c r="Q5" s="21" t="s">
        <v>170</v>
      </c>
    </row>
    <row r="6" spans="1:17" ht="39.75" customHeight="1" x14ac:dyDescent="0.35">
      <c r="A6" s="19" t="s">
        <v>114</v>
      </c>
      <c r="B6" s="19" t="s">
        <v>115</v>
      </c>
      <c r="C6" s="19" t="s">
        <v>116</v>
      </c>
      <c r="D6" s="19" t="s">
        <v>163</v>
      </c>
      <c r="E6" s="19" t="s">
        <v>108</v>
      </c>
      <c r="F6" s="19" t="s">
        <v>32</v>
      </c>
      <c r="G6" s="19" t="s">
        <v>171</v>
      </c>
      <c r="H6" s="37">
        <v>0</v>
      </c>
      <c r="I6" s="37">
        <v>80000</v>
      </c>
      <c r="J6" s="37">
        <v>80000</v>
      </c>
      <c r="K6" s="37">
        <v>0</v>
      </c>
      <c r="L6" s="37">
        <v>80000</v>
      </c>
      <c r="M6" s="37">
        <v>80000</v>
      </c>
      <c r="N6" s="19"/>
      <c r="O6" s="19" t="s">
        <v>117</v>
      </c>
      <c r="P6" s="19" t="s">
        <v>165</v>
      </c>
      <c r="Q6" s="19" t="s">
        <v>166</v>
      </c>
    </row>
    <row r="7" spans="1:17" ht="39.75" customHeight="1" x14ac:dyDescent="0.35">
      <c r="A7" s="21" t="s">
        <v>114</v>
      </c>
      <c r="B7" s="21" t="s">
        <v>115</v>
      </c>
      <c r="C7" s="21" t="s">
        <v>116</v>
      </c>
      <c r="D7" s="21" t="s">
        <v>167</v>
      </c>
      <c r="E7" s="21" t="s">
        <v>172</v>
      </c>
      <c r="F7" s="21" t="s">
        <v>38</v>
      </c>
      <c r="G7" s="21" t="s">
        <v>173</v>
      </c>
      <c r="H7" s="38">
        <v>80000</v>
      </c>
      <c r="I7" s="38">
        <v>0</v>
      </c>
      <c r="J7" s="38">
        <v>80000</v>
      </c>
      <c r="K7" s="38">
        <v>80000</v>
      </c>
      <c r="L7" s="38">
        <v>0</v>
      </c>
      <c r="M7" s="38">
        <v>80000</v>
      </c>
      <c r="N7" s="21" t="s">
        <v>117</v>
      </c>
      <c r="O7" s="21" t="s">
        <v>137</v>
      </c>
      <c r="P7" s="21" t="s">
        <v>174</v>
      </c>
      <c r="Q7" s="21" t="s">
        <v>175</v>
      </c>
    </row>
    <row r="8" spans="1:17" ht="39.75" customHeight="1" x14ac:dyDescent="0.35">
      <c r="A8" s="19" t="s">
        <v>121</v>
      </c>
      <c r="B8" s="19" t="s">
        <v>122</v>
      </c>
      <c r="C8" s="19" t="s">
        <v>124</v>
      </c>
      <c r="D8" s="19" t="s">
        <v>163</v>
      </c>
      <c r="E8" s="19" t="s">
        <v>126</v>
      </c>
      <c r="F8" s="19" t="s">
        <v>32</v>
      </c>
      <c r="G8" s="19" t="s">
        <v>176</v>
      </c>
      <c r="H8" s="37">
        <v>0</v>
      </c>
      <c r="I8" s="37">
        <v>120000</v>
      </c>
      <c r="J8" s="37">
        <v>120000</v>
      </c>
      <c r="K8" s="37">
        <v>0</v>
      </c>
      <c r="L8" s="37">
        <v>60000</v>
      </c>
      <c r="M8" s="37">
        <v>60000</v>
      </c>
      <c r="N8" s="19"/>
      <c r="O8" s="19" t="s">
        <v>127</v>
      </c>
      <c r="P8" s="19" t="s">
        <v>165</v>
      </c>
      <c r="Q8" s="19" t="s">
        <v>166</v>
      </c>
    </row>
    <row r="9" spans="1:17" ht="39.75" customHeight="1" x14ac:dyDescent="0.35">
      <c r="A9" s="21" t="s">
        <v>121</v>
      </c>
      <c r="B9" s="21" t="s">
        <v>122</v>
      </c>
      <c r="C9" s="21" t="s">
        <v>124</v>
      </c>
      <c r="D9" s="21" t="s">
        <v>167</v>
      </c>
      <c r="E9" s="21" t="s">
        <v>177</v>
      </c>
      <c r="F9" s="21" t="s">
        <v>40</v>
      </c>
      <c r="G9" s="21" t="s">
        <v>178</v>
      </c>
      <c r="H9" s="38">
        <v>120000</v>
      </c>
      <c r="I9" s="38">
        <v>0</v>
      </c>
      <c r="J9" s="38">
        <v>120000</v>
      </c>
      <c r="K9" s="38">
        <v>60000</v>
      </c>
      <c r="L9" s="38">
        <v>0</v>
      </c>
      <c r="M9" s="38">
        <v>60000</v>
      </c>
      <c r="N9" s="21" t="s">
        <v>127</v>
      </c>
      <c r="O9" s="21" t="s">
        <v>127</v>
      </c>
      <c r="P9" s="21" t="s">
        <v>179</v>
      </c>
      <c r="Q9" s="21" t="s">
        <v>180</v>
      </c>
    </row>
    <row r="10" spans="1:17" ht="39.75" customHeight="1" x14ac:dyDescent="0.35">
      <c r="A10" s="19" t="s">
        <v>131</v>
      </c>
      <c r="B10" s="19" t="s">
        <v>132</v>
      </c>
      <c r="C10" s="19" t="s">
        <v>135</v>
      </c>
      <c r="D10" s="19" t="s">
        <v>163</v>
      </c>
      <c r="E10" s="19" t="s">
        <v>136</v>
      </c>
      <c r="F10" s="19" t="s">
        <v>32</v>
      </c>
      <c r="G10" s="19" t="s">
        <v>181</v>
      </c>
      <c r="H10" s="37">
        <v>0</v>
      </c>
      <c r="I10" s="37">
        <v>35000</v>
      </c>
      <c r="J10" s="37">
        <v>35000</v>
      </c>
      <c r="K10" s="37">
        <v>0</v>
      </c>
      <c r="L10" s="37">
        <v>35000</v>
      </c>
      <c r="M10" s="37">
        <v>35000</v>
      </c>
      <c r="N10" s="19"/>
      <c r="O10" s="19" t="s">
        <v>137</v>
      </c>
      <c r="P10" s="19" t="s">
        <v>179</v>
      </c>
      <c r="Q10" s="19" t="s">
        <v>166</v>
      </c>
    </row>
    <row r="11" spans="1:17" ht="39.75" customHeight="1" x14ac:dyDescent="0.35">
      <c r="A11" s="21" t="s">
        <v>142</v>
      </c>
      <c r="B11" s="21" t="s">
        <v>143</v>
      </c>
      <c r="C11" s="21" t="s">
        <v>144</v>
      </c>
      <c r="D11" s="21" t="s">
        <v>163</v>
      </c>
      <c r="E11" s="21" t="s">
        <v>108</v>
      </c>
      <c r="F11" s="21" t="s">
        <v>32</v>
      </c>
      <c r="G11" s="21" t="s">
        <v>182</v>
      </c>
      <c r="H11" s="38">
        <v>0</v>
      </c>
      <c r="I11" s="38">
        <v>180000</v>
      </c>
      <c r="J11" s="38">
        <v>180000</v>
      </c>
      <c r="K11" s="38">
        <v>0</v>
      </c>
      <c r="L11" s="38">
        <v>90000</v>
      </c>
      <c r="M11" s="38">
        <v>90000</v>
      </c>
      <c r="N11" s="21"/>
      <c r="O11" s="21" t="s">
        <v>109</v>
      </c>
      <c r="P11" s="21" t="s">
        <v>165</v>
      </c>
      <c r="Q11" s="21" t="s">
        <v>166</v>
      </c>
    </row>
    <row r="12" spans="1:17" ht="39.75" customHeight="1" x14ac:dyDescent="0.35">
      <c r="A12" s="19"/>
      <c r="B12" s="19"/>
      <c r="C12" s="19"/>
      <c r="D12" s="19"/>
      <c r="E12" s="19"/>
      <c r="F12" s="19" t="s">
        <v>47</v>
      </c>
      <c r="G12" s="19" t="s">
        <v>183</v>
      </c>
      <c r="H12" s="37">
        <v>0</v>
      </c>
      <c r="I12" s="37">
        <v>0</v>
      </c>
      <c r="J12" s="37">
        <v>0</v>
      </c>
      <c r="K12" s="37">
        <v>0</v>
      </c>
      <c r="L12" s="37">
        <v>0</v>
      </c>
      <c r="M12" s="37">
        <v>0</v>
      </c>
      <c r="N12" s="19"/>
      <c r="O12" s="19"/>
      <c r="P12" s="19"/>
      <c r="Q12" s="19"/>
    </row>
    <row r="13" spans="1:17" ht="39.75" customHeight="1" x14ac:dyDescent="0.35">
      <c r="A13" s="21" t="s">
        <v>352</v>
      </c>
      <c r="B13" s="21" t="s">
        <v>354</v>
      </c>
      <c r="C13" s="21"/>
      <c r="D13" s="21" t="s">
        <v>355</v>
      </c>
      <c r="E13" s="54">
        <v>46022</v>
      </c>
      <c r="F13" s="21" t="s">
        <v>32</v>
      </c>
      <c r="G13" s="21" t="s">
        <v>188</v>
      </c>
      <c r="H13" s="38">
        <v>0</v>
      </c>
      <c r="I13" s="38">
        <v>30000</v>
      </c>
      <c r="J13" s="38">
        <v>30000</v>
      </c>
      <c r="K13" s="38">
        <v>0</v>
      </c>
      <c r="L13" s="38">
        <v>30000</v>
      </c>
      <c r="M13" s="38">
        <v>30000</v>
      </c>
      <c r="N13" s="21"/>
      <c r="O13" s="21"/>
      <c r="P13" s="21" t="s">
        <v>191</v>
      </c>
      <c r="Q13" s="21" t="s">
        <v>192</v>
      </c>
    </row>
    <row r="14" spans="1:17" ht="39.75" customHeight="1" x14ac:dyDescent="0.35">
      <c r="A14" s="39" t="s">
        <v>184</v>
      </c>
      <c r="B14" s="40" t="s">
        <v>95</v>
      </c>
      <c r="C14" s="40" t="s">
        <v>98</v>
      </c>
      <c r="D14" s="40" t="s">
        <v>185</v>
      </c>
      <c r="E14" s="40" t="s">
        <v>186</v>
      </c>
      <c r="F14" s="40" t="s">
        <v>187</v>
      </c>
      <c r="G14" s="40" t="s">
        <v>188</v>
      </c>
      <c r="H14" s="41">
        <v>0</v>
      </c>
      <c r="I14" s="41">
        <v>0</v>
      </c>
      <c r="J14" s="41">
        <v>0</v>
      </c>
      <c r="K14" s="41">
        <v>0</v>
      </c>
      <c r="L14" s="41">
        <v>0</v>
      </c>
      <c r="M14" s="41">
        <v>0</v>
      </c>
      <c r="N14" s="40" t="s">
        <v>189</v>
      </c>
      <c r="O14" s="40" t="s">
        <v>190</v>
      </c>
      <c r="P14" s="40" t="s">
        <v>191</v>
      </c>
      <c r="Q14" s="40" t="s">
        <v>192</v>
      </c>
    </row>
  </sheetData>
  <mergeCells count="2">
    <mergeCell ref="A1:Q1"/>
    <mergeCell ref="A2:Q2"/>
  </mergeCells>
  <conditionalFormatting sqref="F4:F201">
    <cfRule type="expression" dxfId="10" priority="2">
      <formula>F4="Award"</formula>
    </cfRule>
    <cfRule type="expression" dxfId="9" priority="3">
      <formula>ISNUMBER(SEARCH("Admin",F4))</formula>
    </cfRule>
  </conditionalFormatting>
  <dataValidations count="1">
    <dataValidation type="list" allowBlank="1" showInputMessage="1" promptTitle="Mod Categories" prompt="Enter all applicable categories separated by commas: Award / Ceiling / Funding / PoP / Scope / Admin" sqref="F4:F201" xr:uid="{00000000-0002-0000-0200-000000000000}">
      <formula1>"Award,Ceiling,Funding,PoP,Scope,Admin,Ceiling Funding,Ceiling Funding PoP,Funding PoP,Scope Ceiling Funding,Scope Admin"</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8"/>
  <sheetViews>
    <sheetView showGridLines="0" topLeftCell="D1" zoomScaleNormal="100" workbookViewId="0">
      <pane ySplit="3" topLeftCell="A10" activePane="bottomLeft" state="frozen"/>
      <selection pane="bottomLeft" activeCell="A17" sqref="A17:K17"/>
    </sheetView>
  </sheetViews>
  <sheetFormatPr defaultColWidth="8.6328125" defaultRowHeight="14.5" x14ac:dyDescent="0.35"/>
  <cols>
    <col min="1" max="1" width="10" customWidth="1"/>
    <col min="2" max="2" width="26" customWidth="1"/>
    <col min="3" max="3" width="16" customWidth="1"/>
    <col min="4" max="4" width="14" customWidth="1"/>
    <col min="5" max="5" width="22" customWidth="1"/>
    <col min="6" max="6" width="16" customWidth="1"/>
    <col min="7" max="7" width="14" customWidth="1"/>
    <col min="8" max="8" width="16" customWidth="1"/>
    <col min="9" max="9" width="14" customWidth="1"/>
    <col min="10" max="10" width="22" customWidth="1"/>
    <col min="11" max="11" width="32" customWidth="1"/>
  </cols>
  <sheetData>
    <row r="1" spans="1:11" ht="36" customHeight="1" x14ac:dyDescent="0.35">
      <c r="A1" s="14" t="s">
        <v>193</v>
      </c>
      <c r="B1" s="14"/>
      <c r="C1" s="14"/>
      <c r="D1" s="14"/>
      <c r="E1" s="14"/>
      <c r="F1" s="14"/>
      <c r="G1" s="14"/>
      <c r="H1" s="14"/>
      <c r="I1" s="14"/>
      <c r="J1" s="14"/>
      <c r="K1" s="14"/>
    </row>
    <row r="2" spans="1:11" ht="19.5" customHeight="1" x14ac:dyDescent="0.35">
      <c r="A2" s="13" t="s">
        <v>194</v>
      </c>
      <c r="B2" s="13"/>
      <c r="C2" s="13"/>
      <c r="D2" s="13"/>
      <c r="E2" s="13"/>
      <c r="F2" s="13"/>
      <c r="G2" s="13"/>
      <c r="H2" s="13"/>
      <c r="I2" s="13"/>
      <c r="J2" s="13"/>
      <c r="K2" s="13"/>
    </row>
    <row r="3" spans="1:11" ht="43.5" customHeight="1" x14ac:dyDescent="0.35">
      <c r="A3" s="24" t="s">
        <v>57</v>
      </c>
      <c r="B3" s="24" t="s">
        <v>58</v>
      </c>
      <c r="C3" s="24" t="s">
        <v>195</v>
      </c>
      <c r="D3" s="24" t="s">
        <v>196</v>
      </c>
      <c r="E3" s="24" t="s">
        <v>197</v>
      </c>
      <c r="F3" s="24" t="s">
        <v>198</v>
      </c>
      <c r="G3" s="24" t="s">
        <v>199</v>
      </c>
      <c r="H3" s="24" t="s">
        <v>200</v>
      </c>
      <c r="I3" s="24" t="s">
        <v>201</v>
      </c>
      <c r="J3" s="24" t="s">
        <v>202</v>
      </c>
      <c r="K3" s="24" t="s">
        <v>162</v>
      </c>
    </row>
    <row r="4" spans="1:11" ht="27.75" customHeight="1" x14ac:dyDescent="0.35">
      <c r="A4" s="19" t="s">
        <v>105</v>
      </c>
      <c r="B4" s="19" t="s">
        <v>106</v>
      </c>
      <c r="C4" s="19" t="s">
        <v>203</v>
      </c>
      <c r="D4" s="19" t="s">
        <v>204</v>
      </c>
      <c r="E4" s="19" t="s">
        <v>205</v>
      </c>
      <c r="F4" s="37">
        <v>24500</v>
      </c>
      <c r="G4" s="19" t="s">
        <v>206</v>
      </c>
      <c r="H4" s="19" t="s">
        <v>179</v>
      </c>
      <c r="I4" s="19" t="s">
        <v>207</v>
      </c>
      <c r="J4" s="37">
        <f>SUMIFS($F$4:F4,$A$4:A4,A4,$G$4:G4,"Approved")</f>
        <v>24500</v>
      </c>
      <c r="K4" s="19"/>
    </row>
    <row r="5" spans="1:11" ht="27.75" customHeight="1" x14ac:dyDescent="0.35">
      <c r="A5" s="21" t="s">
        <v>105</v>
      </c>
      <c r="B5" s="21" t="s">
        <v>106</v>
      </c>
      <c r="C5" s="21" t="s">
        <v>208</v>
      </c>
      <c r="D5" s="21" t="s">
        <v>209</v>
      </c>
      <c r="E5" s="21" t="s">
        <v>210</v>
      </c>
      <c r="F5" s="38">
        <v>36200</v>
      </c>
      <c r="G5" s="21" t="s">
        <v>206</v>
      </c>
      <c r="H5" s="21" t="s">
        <v>179</v>
      </c>
      <c r="I5" s="21" t="s">
        <v>211</v>
      </c>
      <c r="J5" s="38">
        <f>SUMIFS($F$4:F5,$A$4:A5,A5,$G$4:G5,"Approved")</f>
        <v>60700</v>
      </c>
      <c r="K5" s="21"/>
    </row>
    <row r="6" spans="1:11" ht="27.75" customHeight="1" x14ac:dyDescent="0.35">
      <c r="A6" s="19" t="s">
        <v>105</v>
      </c>
      <c r="B6" s="19" t="s">
        <v>106</v>
      </c>
      <c r="C6" s="19" t="s">
        <v>212</v>
      </c>
      <c r="D6" s="19" t="s">
        <v>213</v>
      </c>
      <c r="E6" s="19" t="s">
        <v>214</v>
      </c>
      <c r="F6" s="37">
        <v>37300</v>
      </c>
      <c r="G6" s="19" t="s">
        <v>215</v>
      </c>
      <c r="H6" s="19"/>
      <c r="I6" s="19"/>
      <c r="J6" s="37">
        <f>SUMIFS($F$4:F6,$A$4:A6,A6,$G$4:G6,"Approved")</f>
        <v>60700</v>
      </c>
      <c r="K6" s="19" t="s">
        <v>216</v>
      </c>
    </row>
    <row r="7" spans="1:11" ht="27.75" customHeight="1" x14ac:dyDescent="0.35">
      <c r="A7" s="21" t="s">
        <v>114</v>
      </c>
      <c r="B7" s="21" t="s">
        <v>115</v>
      </c>
      <c r="C7" s="21" t="s">
        <v>217</v>
      </c>
      <c r="D7" s="21" t="s">
        <v>204</v>
      </c>
      <c r="E7" s="21" t="s">
        <v>205</v>
      </c>
      <c r="F7" s="38">
        <v>15000</v>
      </c>
      <c r="G7" s="21" t="s">
        <v>206</v>
      </c>
      <c r="H7" s="21" t="s">
        <v>179</v>
      </c>
      <c r="I7" s="21" t="s">
        <v>207</v>
      </c>
      <c r="J7" s="38">
        <f>SUMIFS($F$4:F7,$A$4:A7,A7,$G$4:G7,"Approved")</f>
        <v>15000</v>
      </c>
      <c r="K7" s="21"/>
    </row>
    <row r="8" spans="1:11" ht="27.75" customHeight="1" x14ac:dyDescent="0.35">
      <c r="A8" s="19" t="s">
        <v>114</v>
      </c>
      <c r="B8" s="19" t="s">
        <v>115</v>
      </c>
      <c r="C8" s="19" t="s">
        <v>218</v>
      </c>
      <c r="D8" s="19" t="s">
        <v>209</v>
      </c>
      <c r="E8" s="19" t="s">
        <v>210</v>
      </c>
      <c r="F8" s="37">
        <v>18000</v>
      </c>
      <c r="G8" s="19" t="s">
        <v>206</v>
      </c>
      <c r="H8" s="19" t="s">
        <v>179</v>
      </c>
      <c r="I8" s="19" t="s">
        <v>211</v>
      </c>
      <c r="J8" s="37">
        <f>SUMIFS($F$4:F8,$A$4:A8,A8,$G$4:G8,"Approved")</f>
        <v>33000</v>
      </c>
      <c r="K8" s="19"/>
    </row>
    <row r="9" spans="1:11" ht="27.75" customHeight="1" x14ac:dyDescent="0.35">
      <c r="A9" s="21" t="s">
        <v>114</v>
      </c>
      <c r="B9" s="21" t="s">
        <v>115</v>
      </c>
      <c r="C9" s="21" t="s">
        <v>219</v>
      </c>
      <c r="D9" s="21" t="s">
        <v>213</v>
      </c>
      <c r="E9" s="21" t="s">
        <v>214</v>
      </c>
      <c r="F9" s="38">
        <v>12000</v>
      </c>
      <c r="G9" s="21" t="s">
        <v>215</v>
      </c>
      <c r="H9" s="21"/>
      <c r="I9" s="21"/>
      <c r="J9" s="38">
        <f>SUMIFS($F$4:F9,$A$4:A9,A9,$G$4:G9,"Approved")</f>
        <v>33000</v>
      </c>
      <c r="K9" s="21" t="s">
        <v>216</v>
      </c>
    </row>
    <row r="10" spans="1:11" ht="27.75" customHeight="1" x14ac:dyDescent="0.35">
      <c r="A10" s="19" t="s">
        <v>121</v>
      </c>
      <c r="B10" s="19" t="s">
        <v>122</v>
      </c>
      <c r="C10" s="19" t="s">
        <v>220</v>
      </c>
      <c r="D10" s="19" t="s">
        <v>204</v>
      </c>
      <c r="E10" s="19" t="s">
        <v>205</v>
      </c>
      <c r="F10" s="37">
        <v>8000</v>
      </c>
      <c r="G10" s="19" t="s">
        <v>206</v>
      </c>
      <c r="H10" s="19" t="s">
        <v>179</v>
      </c>
      <c r="I10" s="19" t="s">
        <v>207</v>
      </c>
      <c r="J10" s="37">
        <f>SUMIFS($F$4:F10,$A$4:A10,A10,$G$4:G10,"Approved")</f>
        <v>8000</v>
      </c>
      <c r="K10" s="19"/>
    </row>
    <row r="11" spans="1:11" ht="27.75" customHeight="1" x14ac:dyDescent="0.35">
      <c r="A11" s="21" t="s">
        <v>121</v>
      </c>
      <c r="B11" s="21" t="s">
        <v>122</v>
      </c>
      <c r="C11" s="21" t="s">
        <v>221</v>
      </c>
      <c r="D11" s="21" t="s">
        <v>209</v>
      </c>
      <c r="E11" s="21" t="s">
        <v>210</v>
      </c>
      <c r="F11" s="38">
        <v>8000</v>
      </c>
      <c r="G11" s="21" t="s">
        <v>206</v>
      </c>
      <c r="H11" s="21" t="s">
        <v>179</v>
      </c>
      <c r="I11" s="21" t="s">
        <v>211</v>
      </c>
      <c r="J11" s="38">
        <f>SUMIFS($F$4:F11,$A$4:A11,A11,$G$4:G11,"Approved")</f>
        <v>16000</v>
      </c>
      <c r="K11" s="21"/>
    </row>
    <row r="12" spans="1:11" ht="27.75" customHeight="1" x14ac:dyDescent="0.35">
      <c r="A12" s="19" t="s">
        <v>121</v>
      </c>
      <c r="B12" s="19" t="s">
        <v>122</v>
      </c>
      <c r="C12" s="19" t="s">
        <v>222</v>
      </c>
      <c r="D12" s="19" t="s">
        <v>213</v>
      </c>
      <c r="E12" s="19" t="s">
        <v>214</v>
      </c>
      <c r="F12" s="37">
        <v>6000</v>
      </c>
      <c r="G12" s="19" t="s">
        <v>215</v>
      </c>
      <c r="H12" s="19"/>
      <c r="I12" s="19"/>
      <c r="J12" s="37">
        <f>SUMIFS($F$4:F12,$A$4:A12,A12,$G$4:G12,"Approved")</f>
        <v>16000</v>
      </c>
      <c r="K12" s="19" t="s">
        <v>216</v>
      </c>
    </row>
    <row r="13" spans="1:11" ht="27.75" customHeight="1" x14ac:dyDescent="0.35">
      <c r="A13" s="21" t="s">
        <v>142</v>
      </c>
      <c r="B13" s="21" t="s">
        <v>143</v>
      </c>
      <c r="C13" s="21" t="s">
        <v>223</v>
      </c>
      <c r="D13" s="21" t="s">
        <v>204</v>
      </c>
      <c r="E13" s="21" t="s">
        <v>205</v>
      </c>
      <c r="F13" s="38">
        <v>22000</v>
      </c>
      <c r="G13" s="21" t="s">
        <v>206</v>
      </c>
      <c r="H13" s="21" t="s">
        <v>179</v>
      </c>
      <c r="I13" s="21" t="s">
        <v>207</v>
      </c>
      <c r="J13" s="38">
        <f>SUMIFS($F$4:F13,$A$4:A13,A13,$G$4:G13,"Approved")</f>
        <v>22000</v>
      </c>
      <c r="K13" s="21"/>
    </row>
    <row r="14" spans="1:11" ht="27.75" customHeight="1" x14ac:dyDescent="0.35">
      <c r="A14" s="19" t="s">
        <v>142</v>
      </c>
      <c r="B14" s="19" t="s">
        <v>143</v>
      </c>
      <c r="C14" s="19" t="s">
        <v>224</v>
      </c>
      <c r="D14" s="19" t="s">
        <v>209</v>
      </c>
      <c r="E14" s="19" t="s">
        <v>210</v>
      </c>
      <c r="F14" s="37">
        <v>28500</v>
      </c>
      <c r="G14" s="19" t="s">
        <v>206</v>
      </c>
      <c r="H14" s="19" t="s">
        <v>179</v>
      </c>
      <c r="I14" s="19" t="s">
        <v>211</v>
      </c>
      <c r="J14" s="37">
        <f>SUMIFS($F$4:F14,$A$4:A14,A14,$G$4:G14,"Approved")</f>
        <v>50500</v>
      </c>
      <c r="K14" s="19"/>
    </row>
    <row r="15" spans="1:11" ht="27.75" customHeight="1" x14ac:dyDescent="0.35">
      <c r="A15" s="21" t="s">
        <v>142</v>
      </c>
      <c r="B15" s="21" t="s">
        <v>143</v>
      </c>
      <c r="C15" s="21" t="s">
        <v>225</v>
      </c>
      <c r="D15" s="21" t="s">
        <v>213</v>
      </c>
      <c r="E15" s="21" t="s">
        <v>214</v>
      </c>
      <c r="F15" s="38">
        <v>28000</v>
      </c>
      <c r="G15" s="21" t="s">
        <v>215</v>
      </c>
      <c r="H15" s="21"/>
      <c r="I15" s="21"/>
      <c r="J15" s="38">
        <f>SUMIFS($F$4:F15,$A$4:A15,A15,$G$4:G15,"Approved")</f>
        <v>50500</v>
      </c>
      <c r="K15" s="21" t="s">
        <v>216</v>
      </c>
    </row>
    <row r="16" spans="1:11" ht="27.75" customHeight="1" x14ac:dyDescent="0.35">
      <c r="A16" s="19"/>
      <c r="B16" s="19"/>
      <c r="C16" s="19"/>
      <c r="D16" s="19"/>
      <c r="E16" s="19"/>
      <c r="F16" s="37"/>
      <c r="G16" s="19" t="s">
        <v>215</v>
      </c>
      <c r="H16" s="19"/>
      <c r="I16" s="19"/>
      <c r="J16" s="37">
        <f>SUMIFS($F$4:F16,$A$4:A16,A16,$G$4:G16,"Approved")</f>
        <v>0</v>
      </c>
      <c r="K16" s="19"/>
    </row>
    <row r="17" spans="1:11" ht="31.5" customHeight="1" x14ac:dyDescent="0.35">
      <c r="A17" s="21" t="s">
        <v>351</v>
      </c>
      <c r="B17" s="21" t="s">
        <v>354</v>
      </c>
      <c r="C17" s="21" t="s">
        <v>356</v>
      </c>
      <c r="D17" s="21">
        <v>46207</v>
      </c>
      <c r="E17" s="21" t="s">
        <v>228</v>
      </c>
      <c r="F17" s="38">
        <v>50000</v>
      </c>
      <c r="G17" s="21" t="s">
        <v>206</v>
      </c>
      <c r="H17" s="21"/>
      <c r="I17" s="21"/>
      <c r="J17" s="38">
        <f>SUMIFS($F$4:F17,$A$4:A17,A17,$G$4:G17,"Approved")</f>
        <v>50000</v>
      </c>
      <c r="K17" s="21"/>
    </row>
    <row r="18" spans="1:11" ht="31.5" customHeight="1" x14ac:dyDescent="0.35">
      <c r="A18" s="39" t="s">
        <v>226</v>
      </c>
      <c r="B18" s="40" t="s">
        <v>95</v>
      </c>
      <c r="C18" s="40" t="s">
        <v>227</v>
      </c>
      <c r="D18" s="40" t="s">
        <v>186</v>
      </c>
      <c r="E18" s="40" t="s">
        <v>228</v>
      </c>
      <c r="F18" s="41">
        <v>0</v>
      </c>
      <c r="G18" s="40" t="s">
        <v>215</v>
      </c>
      <c r="H18" s="40"/>
      <c r="I18" s="40"/>
      <c r="J18" s="29">
        <f>SUMIFS($F$4:F18,$A$4:A18,A18,$G$4:G18,"Approved")</f>
        <v>0</v>
      </c>
      <c r="K18" s="40"/>
    </row>
  </sheetData>
  <mergeCells count="2">
    <mergeCell ref="A1:K1"/>
    <mergeCell ref="A2:K2"/>
  </mergeCells>
  <conditionalFormatting sqref="G4:G201">
    <cfRule type="expression" dxfId="8" priority="2">
      <formula>G4="Approved"</formula>
    </cfRule>
    <cfRule type="expression" dxfId="7" priority="3">
      <formula>G4="Pending"</formula>
    </cfRule>
    <cfRule type="expression" dxfId="6" priority="4">
      <formula>G4="Rejected"</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2"/>
  <sheetViews>
    <sheetView showGridLines="0" zoomScaleNormal="100" workbookViewId="0">
      <pane ySplit="3" topLeftCell="A6" activePane="bottomLeft" state="frozen"/>
      <selection pane="bottomLeft" activeCell="J11" sqref="J11"/>
    </sheetView>
  </sheetViews>
  <sheetFormatPr defaultColWidth="8.6328125" defaultRowHeight="14.5" x14ac:dyDescent="0.35"/>
  <cols>
    <col min="1" max="1" width="10" customWidth="1"/>
    <col min="2" max="2" width="18" customWidth="1"/>
    <col min="3" max="3" width="26" customWidth="1"/>
    <col min="4" max="4" width="16" customWidth="1"/>
    <col min="5" max="5" width="14" customWidth="1"/>
    <col min="6" max="6" width="10" customWidth="1"/>
    <col min="7" max="7" width="22" customWidth="1"/>
    <col min="8" max="9" width="14" customWidth="1"/>
    <col min="10" max="11" width="13" customWidth="1"/>
    <col min="12" max="13" width="12" customWidth="1"/>
    <col min="14" max="14" width="32" customWidth="1"/>
    <col min="15" max="15" width="14" customWidth="1"/>
    <col min="16" max="16" width="22" customWidth="1"/>
    <col min="17" max="17" width="28" customWidth="1"/>
  </cols>
  <sheetData>
    <row r="1" spans="1:17" ht="36" customHeight="1" x14ac:dyDescent="0.35">
      <c r="A1" s="14" t="s">
        <v>229</v>
      </c>
      <c r="B1" s="14"/>
      <c r="C1" s="14"/>
      <c r="D1" s="14"/>
      <c r="E1" s="14"/>
      <c r="F1" s="14"/>
      <c r="G1" s="14"/>
      <c r="H1" s="14"/>
      <c r="I1" s="14"/>
      <c r="J1" s="14"/>
      <c r="K1" s="14"/>
      <c r="L1" s="14"/>
      <c r="M1" s="14"/>
      <c r="N1" s="14"/>
      <c r="O1" s="14"/>
      <c r="P1" s="14"/>
      <c r="Q1" s="14"/>
    </row>
    <row r="2" spans="1:17" ht="19.5" customHeight="1" x14ac:dyDescent="0.35">
      <c r="A2" s="13" t="s">
        <v>230</v>
      </c>
      <c r="B2" s="13"/>
      <c r="C2" s="13"/>
      <c r="D2" s="13"/>
      <c r="E2" s="13"/>
      <c r="F2" s="13"/>
      <c r="G2" s="13"/>
      <c r="H2" s="13"/>
      <c r="I2" s="13"/>
      <c r="J2" s="13"/>
      <c r="K2" s="13"/>
      <c r="L2" s="13"/>
      <c r="M2" s="13"/>
      <c r="N2" s="13"/>
      <c r="O2" s="13"/>
      <c r="P2" s="13"/>
    </row>
    <row r="3" spans="1:17" ht="48" customHeight="1" x14ac:dyDescent="0.35">
      <c r="A3" s="24" t="s">
        <v>231</v>
      </c>
      <c r="B3" s="24" t="s">
        <v>133</v>
      </c>
      <c r="C3" s="24" t="s">
        <v>232</v>
      </c>
      <c r="D3" s="24" t="s">
        <v>233</v>
      </c>
      <c r="E3" s="24" t="s">
        <v>234</v>
      </c>
      <c r="F3" s="24" t="s">
        <v>235</v>
      </c>
      <c r="G3" s="24" t="s">
        <v>236</v>
      </c>
      <c r="H3" s="24" t="s">
        <v>237</v>
      </c>
      <c r="I3" s="24" t="s">
        <v>238</v>
      </c>
      <c r="J3" s="24" t="s">
        <v>239</v>
      </c>
      <c r="K3" s="24" t="s">
        <v>240</v>
      </c>
      <c r="L3" s="24" t="s">
        <v>241</v>
      </c>
      <c r="M3" s="24" t="s">
        <v>242</v>
      </c>
      <c r="N3" s="24" t="s">
        <v>243</v>
      </c>
      <c r="O3" s="24" t="s">
        <v>244</v>
      </c>
      <c r="P3" s="24" t="s">
        <v>245</v>
      </c>
      <c r="Q3" s="24" t="s">
        <v>246</v>
      </c>
    </row>
    <row r="4" spans="1:17" ht="31.5" customHeight="1" x14ac:dyDescent="0.35">
      <c r="A4" s="19" t="s">
        <v>247</v>
      </c>
      <c r="B4" s="19" t="s">
        <v>248</v>
      </c>
      <c r="C4" s="19" t="s">
        <v>249</v>
      </c>
      <c r="D4" s="19" t="s">
        <v>250</v>
      </c>
      <c r="E4" s="19" t="s">
        <v>251</v>
      </c>
      <c r="F4" s="19">
        <v>15</v>
      </c>
      <c r="G4" s="19" t="s">
        <v>252</v>
      </c>
      <c r="H4" s="32">
        <v>6000</v>
      </c>
      <c r="I4" s="32">
        <v>6000</v>
      </c>
      <c r="J4" s="19" t="s">
        <v>126</v>
      </c>
      <c r="K4" s="19" t="s">
        <v>127</v>
      </c>
      <c r="L4" s="31" t="str">
        <f t="shared" ref="L4:L12" ca="1" si="0">IF(ISNUMBER(K4),K4-TODAY(),"—")</f>
        <v>—</v>
      </c>
      <c r="M4" s="19" t="s">
        <v>103</v>
      </c>
      <c r="N4" s="19" t="s">
        <v>253</v>
      </c>
      <c r="O4" s="19" t="s">
        <v>254</v>
      </c>
      <c r="P4" s="19" t="s">
        <v>255</v>
      </c>
      <c r="Q4" s="19" t="s">
        <v>256</v>
      </c>
    </row>
    <row r="5" spans="1:17" ht="31.5" customHeight="1" x14ac:dyDescent="0.35">
      <c r="A5" s="21" t="s">
        <v>257</v>
      </c>
      <c r="B5" s="21" t="s">
        <v>258</v>
      </c>
      <c r="C5" s="21" t="s">
        <v>259</v>
      </c>
      <c r="D5" s="21" t="s">
        <v>260</v>
      </c>
      <c r="E5" s="21" t="s">
        <v>251</v>
      </c>
      <c r="F5" s="21">
        <v>12</v>
      </c>
      <c r="G5" s="21" t="s">
        <v>261</v>
      </c>
      <c r="H5" s="35">
        <v>2160</v>
      </c>
      <c r="I5" s="35">
        <v>2160</v>
      </c>
      <c r="J5" s="21" t="s">
        <v>108</v>
      </c>
      <c r="K5" s="21" t="s">
        <v>109</v>
      </c>
      <c r="L5" s="34" t="str">
        <f t="shared" ca="1" si="0"/>
        <v>—</v>
      </c>
      <c r="M5" s="21" t="s">
        <v>103</v>
      </c>
      <c r="N5" s="21" t="s">
        <v>262</v>
      </c>
      <c r="O5" s="21" t="s">
        <v>263</v>
      </c>
      <c r="P5" s="21" t="s">
        <v>179</v>
      </c>
      <c r="Q5" s="21" t="s">
        <v>264</v>
      </c>
    </row>
    <row r="6" spans="1:17" ht="31.5" customHeight="1" x14ac:dyDescent="0.35">
      <c r="A6" s="19" t="s">
        <v>265</v>
      </c>
      <c r="B6" s="19" t="s">
        <v>266</v>
      </c>
      <c r="C6" s="19" t="s">
        <v>267</v>
      </c>
      <c r="D6" s="19" t="s">
        <v>268</v>
      </c>
      <c r="E6" s="19" t="s">
        <v>251</v>
      </c>
      <c r="F6" s="19">
        <v>8</v>
      </c>
      <c r="G6" s="19" t="s">
        <v>110</v>
      </c>
      <c r="H6" s="32">
        <v>3840</v>
      </c>
      <c r="I6" s="32">
        <v>3840</v>
      </c>
      <c r="J6" s="19" t="s">
        <v>108</v>
      </c>
      <c r="K6" s="19" t="s">
        <v>109</v>
      </c>
      <c r="L6" s="31" t="str">
        <f t="shared" ca="1" si="0"/>
        <v>—</v>
      </c>
      <c r="M6" s="19" t="s">
        <v>103</v>
      </c>
      <c r="N6" s="19" t="s">
        <v>269</v>
      </c>
      <c r="O6" s="19" t="s">
        <v>270</v>
      </c>
      <c r="P6" s="19" t="s">
        <v>271</v>
      </c>
      <c r="Q6" s="19" t="s">
        <v>272</v>
      </c>
    </row>
    <row r="7" spans="1:17" ht="31.5" customHeight="1" x14ac:dyDescent="0.35">
      <c r="A7" s="21" t="s">
        <v>273</v>
      </c>
      <c r="B7" s="21" t="s">
        <v>274</v>
      </c>
      <c r="C7" s="21" t="s">
        <v>275</v>
      </c>
      <c r="D7" s="21" t="s">
        <v>276</v>
      </c>
      <c r="E7" s="21" t="s">
        <v>251</v>
      </c>
      <c r="F7" s="21">
        <v>1</v>
      </c>
      <c r="G7" s="21" t="s">
        <v>277</v>
      </c>
      <c r="H7" s="35">
        <v>18500</v>
      </c>
      <c r="I7" s="35">
        <v>18500</v>
      </c>
      <c r="J7" s="21" t="s">
        <v>278</v>
      </c>
      <c r="K7" s="21" t="s">
        <v>279</v>
      </c>
      <c r="L7" s="34" t="str">
        <f t="shared" ca="1" si="0"/>
        <v>—</v>
      </c>
      <c r="M7" s="21" t="s">
        <v>280</v>
      </c>
      <c r="N7" s="21" t="s">
        <v>281</v>
      </c>
      <c r="O7" s="21" t="s">
        <v>282</v>
      </c>
      <c r="P7" s="21" t="s">
        <v>283</v>
      </c>
      <c r="Q7" s="21" t="s">
        <v>284</v>
      </c>
    </row>
    <row r="8" spans="1:17" ht="31.5" customHeight="1" x14ac:dyDescent="0.35">
      <c r="A8" s="19" t="s">
        <v>285</v>
      </c>
      <c r="B8" s="19" t="s">
        <v>286</v>
      </c>
      <c r="C8" s="19" t="s">
        <v>287</v>
      </c>
      <c r="D8" s="19" t="s">
        <v>288</v>
      </c>
      <c r="E8" s="19" t="s">
        <v>289</v>
      </c>
      <c r="F8" s="19">
        <v>1</v>
      </c>
      <c r="G8" s="19" t="s">
        <v>290</v>
      </c>
      <c r="H8" s="32">
        <v>24000</v>
      </c>
      <c r="I8" s="32">
        <v>24000</v>
      </c>
      <c r="J8" s="19" t="s">
        <v>108</v>
      </c>
      <c r="K8" s="19" t="s">
        <v>109</v>
      </c>
      <c r="L8" s="31" t="str">
        <f t="shared" ca="1" si="0"/>
        <v>—</v>
      </c>
      <c r="M8" s="19" t="s">
        <v>103</v>
      </c>
      <c r="N8" s="19" t="s">
        <v>291</v>
      </c>
      <c r="O8" s="19" t="s">
        <v>292</v>
      </c>
      <c r="P8" s="19" t="s">
        <v>293</v>
      </c>
      <c r="Q8" s="19" t="s">
        <v>294</v>
      </c>
    </row>
    <row r="9" spans="1:17" ht="31.5" customHeight="1" x14ac:dyDescent="0.35">
      <c r="A9" s="21" t="s">
        <v>295</v>
      </c>
      <c r="B9" s="21" t="s">
        <v>296</v>
      </c>
      <c r="C9" s="21" t="s">
        <v>297</v>
      </c>
      <c r="D9" s="21" t="s">
        <v>268</v>
      </c>
      <c r="E9" s="21" t="s">
        <v>251</v>
      </c>
      <c r="F9" s="21">
        <v>10</v>
      </c>
      <c r="G9" s="21" t="s">
        <v>110</v>
      </c>
      <c r="H9" s="35">
        <v>1500</v>
      </c>
      <c r="I9" s="35">
        <v>1500</v>
      </c>
      <c r="J9" s="21" t="s">
        <v>126</v>
      </c>
      <c r="K9" s="21" t="s">
        <v>298</v>
      </c>
      <c r="L9" s="34" t="str">
        <f t="shared" ca="1" si="0"/>
        <v>—</v>
      </c>
      <c r="M9" s="21" t="s">
        <v>103</v>
      </c>
      <c r="N9" s="21" t="s">
        <v>299</v>
      </c>
      <c r="O9" s="21" t="s">
        <v>300</v>
      </c>
      <c r="P9" s="21" t="s">
        <v>271</v>
      </c>
      <c r="Q9" s="21" t="s">
        <v>301</v>
      </c>
    </row>
    <row r="10" spans="1:17" ht="31.5" customHeight="1" x14ac:dyDescent="0.35">
      <c r="A10" s="19" t="s">
        <v>302</v>
      </c>
      <c r="B10" s="19" t="s">
        <v>303</v>
      </c>
      <c r="C10" s="19" t="s">
        <v>304</v>
      </c>
      <c r="D10" s="19" t="s">
        <v>276</v>
      </c>
      <c r="E10" s="19" t="s">
        <v>305</v>
      </c>
      <c r="F10" s="19">
        <v>1</v>
      </c>
      <c r="G10" s="19" t="s">
        <v>277</v>
      </c>
      <c r="H10" s="32">
        <v>12000</v>
      </c>
      <c r="I10" s="32">
        <v>12000</v>
      </c>
      <c r="J10" s="19" t="s">
        <v>306</v>
      </c>
      <c r="K10" s="19" t="s">
        <v>141</v>
      </c>
      <c r="L10" s="31" t="str">
        <f t="shared" ca="1" si="0"/>
        <v>—</v>
      </c>
      <c r="M10" s="19" t="s">
        <v>280</v>
      </c>
      <c r="N10" s="19" t="s">
        <v>307</v>
      </c>
      <c r="O10" s="19" t="s">
        <v>308</v>
      </c>
      <c r="P10" s="19" t="s">
        <v>283</v>
      </c>
      <c r="Q10" s="19" t="s">
        <v>309</v>
      </c>
    </row>
    <row r="11" spans="1:17" ht="31.5" customHeight="1" x14ac:dyDescent="0.35">
      <c r="A11" s="21" t="s">
        <v>310</v>
      </c>
      <c r="B11" s="21" t="s">
        <v>311</v>
      </c>
      <c r="C11" s="21" t="s">
        <v>312</v>
      </c>
      <c r="D11" s="21" t="s">
        <v>313</v>
      </c>
      <c r="E11" s="21" t="s">
        <v>251</v>
      </c>
      <c r="F11" s="21">
        <v>20</v>
      </c>
      <c r="G11" s="21" t="s">
        <v>252</v>
      </c>
      <c r="H11" s="35">
        <v>3840</v>
      </c>
      <c r="I11" s="35">
        <v>3840</v>
      </c>
      <c r="J11" s="21" t="s">
        <v>314</v>
      </c>
      <c r="K11" s="21" t="s">
        <v>315</v>
      </c>
      <c r="L11" s="34" t="str">
        <f t="shared" ca="1" si="0"/>
        <v>—</v>
      </c>
      <c r="M11" s="21" t="s">
        <v>103</v>
      </c>
      <c r="N11" s="21" t="s">
        <v>316</v>
      </c>
      <c r="O11" s="21" t="s">
        <v>317</v>
      </c>
      <c r="P11" s="21" t="s">
        <v>179</v>
      </c>
      <c r="Q11" s="21" t="s">
        <v>318</v>
      </c>
    </row>
    <row r="12" spans="1:17" ht="31.5" customHeight="1" x14ac:dyDescent="0.35">
      <c r="A12" s="19" t="s">
        <v>319</v>
      </c>
      <c r="B12" s="19" t="s">
        <v>320</v>
      </c>
      <c r="C12" s="19"/>
      <c r="D12" s="19"/>
      <c r="E12" s="19" t="s">
        <v>251</v>
      </c>
      <c r="F12" s="19">
        <v>0</v>
      </c>
      <c r="G12" s="19"/>
      <c r="H12" s="32">
        <v>0</v>
      </c>
      <c r="I12" s="32">
        <v>0</v>
      </c>
      <c r="J12" s="19"/>
      <c r="K12" s="19"/>
      <c r="L12" s="31" t="str">
        <f t="shared" ca="1" si="0"/>
        <v>—</v>
      </c>
      <c r="M12" s="19"/>
      <c r="N12" s="19"/>
      <c r="O12" s="19"/>
      <c r="P12" s="19"/>
      <c r="Q12" s="19"/>
    </row>
  </sheetData>
  <mergeCells count="2">
    <mergeCell ref="A1:Q1"/>
    <mergeCell ref="A2:P2"/>
  </mergeCells>
  <conditionalFormatting sqref="L4:L100">
    <cfRule type="expression" dxfId="5" priority="2">
      <formula>AND(ISNUMBER(L4),L4&lt;0)</formula>
    </cfRule>
    <cfRule type="expression" dxfId="4" priority="3">
      <formula>AND(ISNUMBER(L4),L4&gt;=0,L4&lt;30)</formula>
    </cfRule>
    <cfRule type="expression" dxfId="3" priority="4">
      <formula>AND(ISNUMBER(L4),L4&gt;=30,L4&lt;90)</formula>
    </cfRule>
    <cfRule type="expression" dxfId="2" priority="5">
      <formula>AND(ISNUMBER(L4),L4&gt;=90)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showGridLines="0" zoomScaleNormal="100" workbookViewId="0">
      <selection sqref="A1:G1"/>
    </sheetView>
  </sheetViews>
  <sheetFormatPr defaultColWidth="8.6328125" defaultRowHeight="14.5" x14ac:dyDescent="0.35"/>
  <cols>
    <col min="1" max="1" width="14" customWidth="1"/>
    <col min="2" max="2" width="28" customWidth="1"/>
    <col min="3" max="3" width="16" customWidth="1"/>
    <col min="4" max="5" width="14" customWidth="1"/>
    <col min="6" max="6" width="18" customWidth="1"/>
    <col min="7" max="7" width="16" customWidth="1"/>
  </cols>
  <sheetData>
    <row r="1" spans="1:7" ht="36" customHeight="1" x14ac:dyDescent="0.35">
      <c r="A1" s="14" t="s">
        <v>321</v>
      </c>
      <c r="B1" s="14"/>
      <c r="C1" s="14"/>
      <c r="D1" s="14"/>
      <c r="E1" s="14"/>
      <c r="F1" s="14"/>
      <c r="G1" s="14"/>
    </row>
    <row r="2" spans="1:7" ht="19.5" customHeight="1" x14ac:dyDescent="0.35">
      <c r="A2" s="13" t="s">
        <v>322</v>
      </c>
      <c r="B2" s="13"/>
      <c r="C2" s="13"/>
      <c r="D2" s="13"/>
      <c r="E2" s="13"/>
      <c r="F2" s="13"/>
      <c r="G2" s="13"/>
    </row>
    <row r="4" spans="1:7" ht="24" customHeight="1" x14ac:dyDescent="0.35">
      <c r="A4" s="3" t="s">
        <v>323</v>
      </c>
      <c r="B4" s="3"/>
      <c r="C4" s="3"/>
      <c r="D4" s="3"/>
      <c r="E4" s="3"/>
      <c r="F4" s="3"/>
      <c r="G4" s="3"/>
    </row>
    <row r="5" spans="1:7" ht="27.75" customHeight="1" x14ac:dyDescent="0.35">
      <c r="A5" s="24" t="s">
        <v>324</v>
      </c>
      <c r="B5" s="24" t="s">
        <v>325</v>
      </c>
      <c r="C5" s="24"/>
      <c r="D5" s="24"/>
      <c r="E5" s="24"/>
      <c r="F5" s="24"/>
      <c r="G5" s="24"/>
    </row>
    <row r="6" spans="1:7" ht="21.75" customHeight="1" x14ac:dyDescent="0.35">
      <c r="A6" s="18" t="s">
        <v>326</v>
      </c>
      <c r="B6" s="2">
        <f ca="1">SUMIF('Vendor Register'!$V:$V,"Active",'Vendor Register'!$O:$O)</f>
        <v>30000</v>
      </c>
      <c r="C6" s="2"/>
      <c r="D6" s="2"/>
      <c r="E6" s="2"/>
      <c r="F6" s="2"/>
      <c r="G6" s="2"/>
    </row>
    <row r="7" spans="1:7" ht="21.75" customHeight="1" x14ac:dyDescent="0.35">
      <c r="A7" s="20" t="s">
        <v>327</v>
      </c>
      <c r="B7" s="1">
        <f>SUMIF('Vendor Register'!$V:$V,"Active",'Vendor Register'!$P:$P)</f>
        <v>445000</v>
      </c>
      <c r="C7" s="1"/>
      <c r="D7" s="1"/>
      <c r="E7" s="1"/>
      <c r="F7" s="1"/>
      <c r="G7" s="1"/>
    </row>
    <row r="8" spans="1:7" ht="21.75" customHeight="1" x14ac:dyDescent="0.35">
      <c r="A8" s="18" t="s">
        <v>328</v>
      </c>
      <c r="B8" s="2">
        <f>SUMIF('Vendor Register'!$V:$V,"Active",'Vendor Register'!$Q:$Q)</f>
        <v>210200</v>
      </c>
      <c r="C8" s="2"/>
      <c r="D8" s="2"/>
      <c r="E8" s="2"/>
      <c r="F8" s="2"/>
      <c r="G8" s="2"/>
    </row>
    <row r="9" spans="1:7" ht="21.75" customHeight="1" x14ac:dyDescent="0.35">
      <c r="A9" s="20" t="s">
        <v>329</v>
      </c>
      <c r="B9" s="1">
        <f>SUMIF('Vendor Register'!$V:$V,"Active",'Vendor Register'!$R:$R)</f>
        <v>234800</v>
      </c>
      <c r="C9" s="1"/>
      <c r="D9" s="1"/>
      <c r="E9" s="1"/>
      <c r="F9" s="1"/>
      <c r="G9" s="1"/>
    </row>
    <row r="10" spans="1:7" ht="21.75" customHeight="1" x14ac:dyDescent="0.35">
      <c r="A10" s="18" t="s">
        <v>330</v>
      </c>
      <c r="B10" s="51">
        <f>IFERROR(SUMIF('Vendor Register'!$V:$V,"Active",'Vendor Register'!$Q:$Q)/SUMIF('Vendor Register'!$V:$V,"Active",'Vendor Register'!$P:$P),0)</f>
        <v>0.47235955056179774</v>
      </c>
      <c r="C10" s="51"/>
      <c r="D10" s="51"/>
      <c r="E10" s="51"/>
      <c r="F10" s="51"/>
      <c r="G10" s="51"/>
    </row>
    <row r="11" spans="1:7" ht="21.75" customHeight="1" x14ac:dyDescent="0.35">
      <c r="A11" s="20" t="s">
        <v>331</v>
      </c>
      <c r="B11" s="52">
        <f>COUNTIF('Vendor Register'!$U:$U,"🟡*")</f>
        <v>0</v>
      </c>
      <c r="C11" s="52"/>
      <c r="D11" s="52"/>
      <c r="E11" s="52"/>
      <c r="F11" s="52"/>
      <c r="G11" s="52"/>
    </row>
    <row r="12" spans="1:7" ht="21.75" customHeight="1" x14ac:dyDescent="0.35">
      <c r="A12" s="18" t="s">
        <v>332</v>
      </c>
      <c r="B12" s="53">
        <f>COUNTIF('Vendor Register'!$U:$U,"🔴*")</f>
        <v>1</v>
      </c>
      <c r="C12" s="53"/>
      <c r="D12" s="53"/>
      <c r="E12" s="53"/>
      <c r="F12" s="53"/>
      <c r="G12" s="53"/>
    </row>
    <row r="13" spans="1:7" ht="21.75" customHeight="1" x14ac:dyDescent="0.35">
      <c r="A13" s="20" t="s">
        <v>333</v>
      </c>
      <c r="B13" s="1">
        <f>SUM('License &amp; Subscription Register'!$H:$H)</f>
        <v>71840</v>
      </c>
      <c r="C13" s="1"/>
      <c r="D13" s="1"/>
      <c r="E13" s="1"/>
      <c r="F13" s="1"/>
      <c r="G13" s="1"/>
    </row>
    <row r="15" spans="1:7" ht="24" customHeight="1" x14ac:dyDescent="0.35">
      <c r="A15" s="3" t="s">
        <v>334</v>
      </c>
      <c r="B15" s="3"/>
      <c r="C15" s="3"/>
      <c r="D15" s="3"/>
      <c r="E15" s="3"/>
      <c r="F15" s="3"/>
      <c r="G15" s="3"/>
    </row>
    <row r="16" spans="1:7" ht="36" customHeight="1" x14ac:dyDescent="0.35">
      <c r="A16" s="24" t="s">
        <v>57</v>
      </c>
      <c r="B16" s="24" t="s">
        <v>335</v>
      </c>
      <c r="C16" s="24" t="s">
        <v>336</v>
      </c>
      <c r="D16" s="24" t="s">
        <v>337</v>
      </c>
      <c r="E16" s="24" t="s">
        <v>73</v>
      </c>
      <c r="F16" s="24" t="s">
        <v>74</v>
      </c>
      <c r="G16" s="24" t="s">
        <v>338</v>
      </c>
    </row>
    <row r="17" spans="1:7" ht="21.75" customHeight="1" x14ac:dyDescent="0.35">
      <c r="A17" s="19" t="str">
        <f>'Vendor Register'!A4</f>
        <v>Format: V-001</v>
      </c>
      <c r="B17" s="19" t="str">
        <f>'Vendor Register'!B4</f>
        <v>Company legal name</v>
      </c>
      <c r="C17" s="32" t="str">
        <f>'Vendor Register'!O4</f>
        <v>AUTO →
Mod Log</v>
      </c>
      <c r="D17" s="32">
        <f>'Vendor Register'!P4</f>
        <v>0</v>
      </c>
      <c r="E17" s="32" t="str">
        <f>'Vendor Register'!Q4</f>
        <v>AUTO →
Invoice Log</v>
      </c>
      <c r="F17" s="32" t="str">
        <f>'Vendor Register'!R4</f>
        <v>AUTO →
formula</v>
      </c>
      <c r="G17" s="19" t="str">
        <f>'Vendor Register'!U4</f>
        <v>AUTO →
formula</v>
      </c>
    </row>
    <row r="18" spans="1:7" ht="21.75" customHeight="1" x14ac:dyDescent="0.35">
      <c r="A18" s="21" t="str">
        <f>'Vendor Register'!A5</f>
        <v>▶ TEMPLATE — copy this row for new vendor, do not edit formulas</v>
      </c>
      <c r="B18" s="21" t="str">
        <f>'Vendor Register'!B5</f>
        <v>[Company Name]</v>
      </c>
      <c r="C18" s="35">
        <f ca="1">'Vendor Register'!O5</f>
        <v>0</v>
      </c>
      <c r="D18" s="35">
        <f>'Vendor Register'!P5</f>
        <v>0</v>
      </c>
      <c r="E18" s="35">
        <f>'Vendor Register'!Q5</f>
        <v>0</v>
      </c>
      <c r="F18" s="35">
        <f>'Vendor Register'!R5</f>
        <v>0</v>
      </c>
      <c r="G18" s="21" t="str">
        <f>'Vendor Register'!U5</f>
        <v>—</v>
      </c>
    </row>
    <row r="19" spans="1:7" ht="21.75" customHeight="1" x14ac:dyDescent="0.35">
      <c r="A19" s="19" t="str">
        <f>'Vendor Register'!A6</f>
        <v>V-001</v>
      </c>
      <c r="B19" s="19" t="str">
        <f>'Vendor Register'!B6</f>
        <v>Apex Solutions LLC</v>
      </c>
      <c r="C19" s="32">
        <f ca="1">'Vendor Register'!O6</f>
        <v>0</v>
      </c>
      <c r="D19" s="32">
        <f>'Vendor Register'!P6</f>
        <v>150000</v>
      </c>
      <c r="E19" s="32">
        <f>'Vendor Register'!Q6</f>
        <v>60700</v>
      </c>
      <c r="F19" s="32">
        <f>'Vendor Register'!R6</f>
        <v>89300</v>
      </c>
      <c r="G19" s="19" t="str">
        <f>'Vendor Register'!U6</f>
        <v>🟢 Healthy</v>
      </c>
    </row>
    <row r="20" spans="1:7" ht="21.75" customHeight="1" x14ac:dyDescent="0.35">
      <c r="A20" s="21" t="str">
        <f>'Vendor Register'!A7</f>
        <v>V-002</v>
      </c>
      <c r="B20" s="21" t="str">
        <f>'Vendor Register'!B7</f>
        <v>CyberShield Inc.</v>
      </c>
      <c r="C20" s="35">
        <f ca="1">'Vendor Register'!O7</f>
        <v>0</v>
      </c>
      <c r="D20" s="35">
        <f>'Vendor Register'!P7</f>
        <v>80000</v>
      </c>
      <c r="E20" s="35">
        <f>'Vendor Register'!Q7</f>
        <v>33000</v>
      </c>
      <c r="F20" s="35">
        <f>'Vendor Register'!R7</f>
        <v>47000</v>
      </c>
      <c r="G20" s="21" t="str">
        <f>'Vendor Register'!U7</f>
        <v>🟢 Healthy</v>
      </c>
    </row>
    <row r="21" spans="1:7" ht="21.75" customHeight="1" x14ac:dyDescent="0.35">
      <c r="A21" s="19" t="str">
        <f>'Vendor Register'!A8</f>
        <v>V-003</v>
      </c>
      <c r="B21" s="19" t="str">
        <f>'Vendor Register'!B8</f>
        <v>CloudInfra Partners</v>
      </c>
      <c r="C21" s="32">
        <f ca="1">'Vendor Register'!O8</f>
        <v>0</v>
      </c>
      <c r="D21" s="32">
        <f>'Vendor Register'!P8</f>
        <v>60000</v>
      </c>
      <c r="E21" s="32">
        <f>'Vendor Register'!Q8</f>
        <v>16000</v>
      </c>
      <c r="F21" s="32">
        <f>'Vendor Register'!R8</f>
        <v>44000</v>
      </c>
      <c r="G21" s="19" t="str">
        <f>'Vendor Register'!U8</f>
        <v>🟢 Healthy</v>
      </c>
    </row>
    <row r="22" spans="1:7" ht="21.75" customHeight="1" x14ac:dyDescent="0.35">
      <c r="A22" s="42" t="s">
        <v>339</v>
      </c>
      <c r="B22" s="42"/>
      <c r="C22" s="43">
        <f ca="1">SUM(C17:C21)</f>
        <v>0</v>
      </c>
      <c r="D22" s="43">
        <f>SUM(D17:D21)</f>
        <v>290000</v>
      </c>
      <c r="E22" s="43">
        <f>SUM(E17:E21)</f>
        <v>109700</v>
      </c>
      <c r="F22" s="43">
        <f>SUM(F17:F21)</f>
        <v>180300</v>
      </c>
      <c r="G22" s="42"/>
    </row>
    <row r="24" spans="1:7" ht="24" customHeight="1" x14ac:dyDescent="0.35">
      <c r="A24" s="3" t="s">
        <v>340</v>
      </c>
      <c r="B24" s="3"/>
      <c r="C24" s="3"/>
      <c r="D24" s="3"/>
      <c r="E24" s="3"/>
      <c r="F24" s="3"/>
      <c r="G24" s="3"/>
    </row>
    <row r="25" spans="1:7" ht="27.75" customHeight="1" x14ac:dyDescent="0.35">
      <c r="A25" s="24" t="s">
        <v>57</v>
      </c>
      <c r="B25" s="24" t="s">
        <v>335</v>
      </c>
      <c r="C25" s="24" t="s">
        <v>341</v>
      </c>
      <c r="D25" s="24" t="s">
        <v>342</v>
      </c>
      <c r="E25" s="24" t="s">
        <v>64</v>
      </c>
      <c r="F25" s="24" t="s">
        <v>343</v>
      </c>
      <c r="G25" s="24" t="s">
        <v>344</v>
      </c>
    </row>
    <row r="26" spans="1:7" ht="21.75" customHeight="1" x14ac:dyDescent="0.35">
      <c r="A26" s="44" t="s">
        <v>114</v>
      </c>
      <c r="B26" s="44" t="s">
        <v>115</v>
      </c>
      <c r="C26" s="44" t="s">
        <v>97</v>
      </c>
      <c r="D26" s="44" t="s">
        <v>116</v>
      </c>
      <c r="E26" s="44" t="s">
        <v>117</v>
      </c>
      <c r="F26" s="45" t="str">
        <f ca="1">IF(ISNUMBER(E26),E26-TODAY(),"—")</f>
        <v>—</v>
      </c>
      <c r="G26" s="44" t="s">
        <v>104</v>
      </c>
    </row>
    <row r="27" spans="1:7" ht="21.75" customHeight="1" x14ac:dyDescent="0.35">
      <c r="A27" s="46" t="s">
        <v>131</v>
      </c>
      <c r="B27" s="46" t="s">
        <v>132</v>
      </c>
      <c r="C27" s="46" t="s">
        <v>134</v>
      </c>
      <c r="D27" s="46" t="s">
        <v>135</v>
      </c>
      <c r="E27" s="46" t="s">
        <v>137</v>
      </c>
      <c r="F27" s="47" t="str">
        <f ca="1">IF(ISNUMBER(E27),E27-TODAY(),"—")</f>
        <v>—</v>
      </c>
      <c r="G27" s="46" t="s">
        <v>104</v>
      </c>
    </row>
    <row r="29" spans="1:7" ht="24" customHeight="1" x14ac:dyDescent="0.35">
      <c r="A29" s="3" t="s">
        <v>345</v>
      </c>
      <c r="B29" s="3"/>
      <c r="C29" s="3"/>
      <c r="D29" s="3"/>
      <c r="E29" s="3"/>
      <c r="F29" s="3"/>
      <c r="G29" s="3"/>
    </row>
    <row r="30" spans="1:7" ht="27.75" customHeight="1" x14ac:dyDescent="0.35">
      <c r="A30" s="24" t="s">
        <v>231</v>
      </c>
      <c r="B30" s="24" t="s">
        <v>133</v>
      </c>
      <c r="C30" s="24" t="s">
        <v>346</v>
      </c>
      <c r="D30" s="24" t="s">
        <v>347</v>
      </c>
      <c r="E30" s="24" t="s">
        <v>343</v>
      </c>
      <c r="F30" s="24" t="s">
        <v>348</v>
      </c>
      <c r="G30" s="24" t="s">
        <v>349</v>
      </c>
    </row>
    <row r="31" spans="1:7" ht="21.75" customHeight="1" x14ac:dyDescent="0.35">
      <c r="A31" s="48" t="s">
        <v>302</v>
      </c>
      <c r="B31" s="48" t="s">
        <v>303</v>
      </c>
      <c r="C31" s="48" t="s">
        <v>304</v>
      </c>
      <c r="D31" s="48" t="s">
        <v>141</v>
      </c>
      <c r="E31" s="49" t="str">
        <f ca="1">IF(ISNUMBER(D31),D31-TODAY(),"—")</f>
        <v>—</v>
      </c>
      <c r="F31" s="50">
        <v>12000</v>
      </c>
      <c r="G31" s="48" t="s">
        <v>280</v>
      </c>
    </row>
    <row r="32" spans="1:7" ht="21.75" customHeight="1" x14ac:dyDescent="0.35">
      <c r="A32" s="48" t="s">
        <v>295</v>
      </c>
      <c r="B32" s="48" t="s">
        <v>296</v>
      </c>
      <c r="C32" s="48" t="s">
        <v>297</v>
      </c>
      <c r="D32" s="48" t="s">
        <v>298</v>
      </c>
      <c r="E32" s="49" t="str">
        <f ca="1">IF(ISNUMBER(D32),D32-TODAY(),"—")</f>
        <v>—</v>
      </c>
      <c r="F32" s="50">
        <v>1500</v>
      </c>
      <c r="G32" s="48" t="s">
        <v>103</v>
      </c>
    </row>
    <row r="33" spans="1:7" ht="21.75" customHeight="1" x14ac:dyDescent="0.35">
      <c r="A33" s="42" t="s">
        <v>350</v>
      </c>
      <c r="B33" s="42"/>
      <c r="C33" s="42"/>
      <c r="D33" s="42"/>
      <c r="E33" s="42"/>
      <c r="F33" s="43">
        <f>SUM('License &amp; Subscription Register'!$H:$H)</f>
        <v>71840</v>
      </c>
      <c r="G33" s="42"/>
    </row>
  </sheetData>
  <mergeCells count="14">
    <mergeCell ref="B13:G13"/>
    <mergeCell ref="A15:G15"/>
    <mergeCell ref="A24:G24"/>
    <mergeCell ref="A29:G29"/>
    <mergeCell ref="B8:G8"/>
    <mergeCell ref="B9:G9"/>
    <mergeCell ref="B10:G10"/>
    <mergeCell ref="B11:G11"/>
    <mergeCell ref="B12:G12"/>
    <mergeCell ref="A1:G1"/>
    <mergeCell ref="A2:G2"/>
    <mergeCell ref="A4:G4"/>
    <mergeCell ref="B6:G6"/>
    <mergeCell ref="B7:G7"/>
  </mergeCells>
  <conditionalFormatting sqref="G17:G21">
    <cfRule type="expression" dxfId="1" priority="2">
      <formula>LEFT(G17,2)="🔴"</formula>
    </cfRule>
    <cfRule type="expression" dxfId="0" priority="3">
      <formula>LEFT(G17,2)="🟡"</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Vendor Register</vt:lpstr>
      <vt:lpstr>Mod Log</vt:lpstr>
      <vt:lpstr>Invoice Log</vt:lpstr>
      <vt:lpstr>License &amp; Subscription Register</vt:lpstr>
      <vt:lpstr>Summary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Briana Carter</cp:lastModifiedBy>
  <cp:revision>0</cp:revision>
  <dcterms:created xsi:type="dcterms:W3CDTF">2026-06-24T00:55:06Z</dcterms:created>
  <dcterms:modified xsi:type="dcterms:W3CDTF">2026-06-24T01:48:49Z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2026-06-24T01:48:39Z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74746a74-7b2e-4c58-833a-c421aa37ba65</vt:lpwstr>
  </property>
  <property fmtid="{D5CDD505-2E9C-101B-9397-08002B2CF9AE}" pid="7" name="MSIP_Label_defa4170-0d19-0005-0004-bc88714345d2_ActionId">
    <vt:lpwstr>8aa70a80-a3b1-4c8e-a2ba-5c6e7938fd90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