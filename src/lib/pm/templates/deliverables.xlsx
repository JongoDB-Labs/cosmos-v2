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rianaCarter\Downloads\"/>
    </mc:Choice>
  </mc:AlternateContent>
  <xr:revisionPtr revIDLastSave="0" documentId="13_ncr:1_{419756AB-99D3-41CD-A918-8101D9C6D914}" xr6:coauthVersionLast="47" xr6:coauthVersionMax="47" xr10:uidLastSave="{00000000-0000-0000-0000-000000000000}"/>
  <bookViews>
    <workbookView xWindow="-110" yWindow="-110" windowWidth="19420" windowHeight="11500" tabRatio="500" firstSheet="1" activeTab="1" xr2:uid="{00000000-000D-0000-FFFF-FFFF00000000}"/>
  </bookViews>
  <sheets>
    <sheet name="Instructions" sheetId="1" r:id="rId1"/>
    <sheet name="Deliverable Register" sheetId="2" r:id="rId2"/>
    <sheet name="Revision Log" sheetId="3" r:id="rId3"/>
    <sheet name="Summary Dashboar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13" i="2" l="1"/>
  <c r="N12" i="2"/>
  <c r="N11" i="2"/>
  <c r="N10" i="2"/>
  <c r="N9" i="2"/>
  <c r="N8" i="2"/>
  <c r="N7" i="2"/>
  <c r="N6" i="2"/>
  <c r="K13" i="2"/>
  <c r="K12" i="2"/>
  <c r="L12" i="2" s="1"/>
  <c r="K11" i="2"/>
  <c r="K10" i="2"/>
  <c r="K9" i="2"/>
  <c r="K8" i="2"/>
  <c r="K7" i="2"/>
  <c r="K6" i="2"/>
  <c r="N5" i="2"/>
  <c r="L11" i="2"/>
  <c r="L10" i="2"/>
  <c r="L9" i="2"/>
  <c r="L8" i="2"/>
  <c r="L13" i="2"/>
  <c r="L7" i="2"/>
  <c r="L6" i="2"/>
  <c r="K5" i="2"/>
  <c r="E23" i="4"/>
  <c r="B13" i="4"/>
  <c r="B12" i="4"/>
  <c r="B8" i="4"/>
  <c r="B7" i="4"/>
  <c r="B6" i="4"/>
  <c r="J5" i="3"/>
  <c r="J4" i="3"/>
  <c r="L5" i="2"/>
  <c r="B9" i="4" l="1"/>
  <c r="B14" i="4"/>
  <c r="B11" i="4"/>
  <c r="B10" i="4"/>
</calcChain>
</file>

<file path=xl/sharedStrings.xml><?xml version="1.0" encoding="utf-8"?>
<sst xmlns="http://schemas.openxmlformats.org/spreadsheetml/2006/main" count="290" uniqueCount="219">
  <si>
    <t>DELIVERABLE TRACKER — INSTRUCTIONS</t>
  </si>
  <si>
    <t>v2.0 Program  •  Owner: PM  •  Tracks contractual artifacts and their government acceptance lifecycle  •  Work that produces deliverables lives in ClickUp</t>
  </si>
  <si>
    <t>PURPOSE &amp; DESIGN BOUNDARY</t>
  </si>
  <si>
    <t>PURPOSE</t>
  </si>
  <si>
    <t>Tracks every contractual deliverable from due date through government formal acceptance. Answers the questions that come up in government customer meetings and MSRs: What is due this month? What has been submitted and is awaiting response? Has anything been accepted late or rejected? Are we meeting our contractual obligations?</t>
  </si>
  <si>
    <t>WHAT THIS TRACKER OWNS</t>
  </si>
  <si>
    <t>The artifact and its contract lifecycle: deliverable ID, CLIN reference, due date, submission date, government acceptance status, early/late/on-time calculation, and revision cycle tracking. This is the compliance story.</t>
  </si>
  <si>
    <t>WHAT CLICKUP OWNS</t>
  </si>
  <si>
    <t>The work that produces the deliverable: tasks, subtasks, sprint items, assignees, review cycles, and execution detail. This is the execution story. The two are linked via the ClickUp Reference field — one click from this tracker to the relevant ClickUp epic or list.</t>
  </si>
  <si>
    <t>EARLY / LATE / ON TIME</t>
  </si>
  <si>
    <t>Calculated automatically from Baseline Due Date vs. Actual Submission Date. Negative = submitted early (good). Zero = on time. Positive = submitted late. This field is the primary performance metric for deliverable compliance reporting.</t>
  </si>
  <si>
    <t>REVISION CYCLES</t>
  </si>
  <si>
    <t>If the government returns a deliverable with comments, a revision cycle opens. The tracker captures the comment summary, revision owner, revised submission date, and re-acceptance outcome. Every revision cycle is logged — the history is the audit trail.</t>
  </si>
  <si>
    <t>BRIEFING USE</t>
  </si>
  <si>
    <t>This tracker is designed to feed the MAQ Copilot dashboard and be pulled up directly in government customer meetings. Keep status current. The Current Status field is what the dashboard surfaces.</t>
  </si>
  <si>
    <t>STATUS DEFINITIONS</t>
  </si>
  <si>
    <t>STATUS</t>
  </si>
  <si>
    <t>DEFINITION</t>
  </si>
  <si>
    <t>ACTION / REPORTING IMPLICATION</t>
  </si>
  <si>
    <t>Not Started</t>
  </si>
  <si>
    <t>Deliverable is in the future. Work may or may not have begun in ClickUp.</t>
  </si>
  <si>
    <t>No action unless due date is within 30 days — flag at-risk deliverables proactively.</t>
  </si>
  <si>
    <t>Draft In Progress</t>
  </si>
  <si>
    <t>Work is actively underway in ClickUp. Internal draft exists but is not ready for PM review.</t>
  </si>
  <si>
    <t>Monitor ClickUp progress. Confirm draft will be ready for internal review with enough lead time before due date.</t>
  </si>
  <si>
    <t>Internal Review</t>
  </si>
  <si>
    <t>Draft is complete and under PM or technical review before external submission.</t>
  </si>
  <si>
    <t>PM ensures review is completed with time to incorporate comments before submission deadline.</t>
  </si>
  <si>
    <t>Submitted</t>
  </si>
  <si>
    <t>Deliverable formally submitted to government customer. Submission date recorded.</t>
  </si>
  <si>
    <t>Start tracking government review period. If contract specifies a review window (e.g. 10 business days), flag when it is approaching.</t>
  </si>
  <si>
    <t>Accepted</t>
  </si>
  <si>
    <t>Government customer has formally accepted the deliverable. No further action required.</t>
  </si>
  <si>
    <t>Record acceptance date. Early/Late calculation auto-updates. Close the deliverable.</t>
  </si>
  <si>
    <t>Accepted with Comments</t>
  </si>
  <si>
    <t>Government accepted but provided comments for incorporation in a future version or next deliverable.</t>
  </si>
  <si>
    <t>Log comments. Assign revision owner. Track incorporation in next applicable deliverable or sprint.</t>
  </si>
  <si>
    <t>Revision Required</t>
  </si>
  <si>
    <t>Government returned the deliverable and requires a formal revised resubmission.</t>
  </si>
  <si>
    <t>Open a revision cycle row. Log government comments. Assign owner and revised due date. This is the highest-priority deliverable status.</t>
  </si>
  <si>
    <t>Overdue</t>
  </si>
  <si>
    <t>Baseline due date has passed and deliverable has not been submitted.</t>
  </si>
  <si>
    <t>Immediate PM escalation. Customer notification likely required. Initiate change request if timeline formally changes.</t>
  </si>
  <si>
    <t>DELIVERABLE TYPE DEFINITIONS</t>
  </si>
  <si>
    <t>DELIVERABLE TYPE</t>
  </si>
  <si>
    <t>CDRL</t>
  </si>
  <si>
    <t>Contract Data Requirements List item. Formally specified in the contract with a DD Form 1423. Has a fixed due date and format requirement.</t>
  </si>
  <si>
    <t>Status Report</t>
  </si>
  <si>
    <t>Recurring program health report submitted to the government customer. Examples: Monthly Status Report, QPR briefing deck.</t>
  </si>
  <si>
    <t>Technical Document</t>
  </si>
  <si>
    <t>Technical artifact such as architecture document, design specification, test plan, or interface control document.</t>
  </si>
  <si>
    <t>Test Artifact</t>
  </si>
  <si>
    <t>Test plans, test results, test reports, and GAT documentation produced during OT&amp;E.</t>
  </si>
  <si>
    <t>Training Material</t>
  </si>
  <si>
    <t>Training guides, SOPs, user manuals, and onboarding materials developed for government users.</t>
  </si>
  <si>
    <t>Transition Artifact</t>
  </si>
  <si>
    <t>Fielding and transition documents: cutover plan, data migration plan, legacy decommission plan, O&amp;M handoff package.</t>
  </si>
  <si>
    <t>Management Artifact</t>
  </si>
  <si>
    <t>Program management documents: RACI, risk register submission, project management plan, integrated master schedule.</t>
  </si>
  <si>
    <t>DELIVERABLE REGISTER  [Table: DeliverableRegister]</t>
  </si>
  <si>
    <t>One row per deliverable  •  Baseline Due Date set once — never change it  •  Early/Late auto-calculates from Baseline Due Date vs. Actual Submission Date  •  Green row = template</t>
  </si>
  <si>
    <t>Deliverable
ID</t>
  </si>
  <si>
    <t>CLIN /
Contract Ref</t>
  </si>
  <si>
    <t>Deliverable
Type</t>
  </si>
  <si>
    <t>Deliverable
Title</t>
  </si>
  <si>
    <t>Description
(what it is)</t>
  </si>
  <si>
    <t>Branch
Owner</t>
  </si>
  <si>
    <t>Deliverable
Owner</t>
  </si>
  <si>
    <t>Baseline
Due Date</t>
  </si>
  <si>
    <t>Internal
Review
Deadline</t>
  </si>
  <si>
    <t>Actual
Submission
Date</t>
  </si>
  <si>
    <t>Days Early
or Late</t>
  </si>
  <si>
    <t>Early /
Late /
On Time</t>
  </si>
  <si>
    <t>Govt Review
Period (days)</t>
  </si>
  <si>
    <t>Govt Review
Deadline</t>
  </si>
  <si>
    <t>Govt
Acceptance
Date</t>
  </si>
  <si>
    <t>Current
Status</t>
  </si>
  <si>
    <t>Revision
Cycle #</t>
  </si>
  <si>
    <t>Revision
Required?</t>
  </si>
  <si>
    <t>ClickUp
Reference</t>
  </si>
  <si>
    <t>Related
Milestone ID</t>
  </si>
  <si>
    <t>Escalate to
Customer?</t>
  </si>
  <si>
    <t>Notes</t>
  </si>
  <si>
    <t>Format:
D-001</t>
  </si>
  <si>
    <t>CLIN ref or
contract
section</t>
  </si>
  <si>
    <t>CDRL / Status
Report / Tech
Doc / Test
Artifact etc.</t>
  </si>
  <si>
    <t>Official
deliverable
name</t>
  </si>
  <si>
    <t>What is
being delivered
and to whom</t>
  </si>
  <si>
    <t>Branch
1.0–6.0</t>
  </si>
  <si>
    <t>Name of
person
responsible</t>
  </si>
  <si>
    <t>MM/DD/YYYY
SET ONCE
NEVER CHANGE</t>
  </si>
  <si>
    <t>MM/DD/YYYY
date by which
internal review
must be done</t>
  </si>
  <si>
    <t>MM/DD/YYYY
date formally
submitted to
government</t>
  </si>
  <si>
    <t>AUTO →
negative=early
positive=late
0=on time</t>
  </si>
  <si>
    <t>AUTO →
Early / On Time
/ Late</t>
  </si>
  <si>
    <t>Days govt
has to review
per contract</t>
  </si>
  <si>
    <t>AUTO →
Submission +
review period</t>
  </si>
  <si>
    <t>MM/DD/YYYY
date govt
formally
accepted</t>
  </si>
  <si>
    <t>Not Started /
Draft In Prog /
Internal Review /
Submitted /
Accepted / etc.</t>
  </si>
  <si>
    <t>0 = original
1 = first
revision etc.</t>
  </si>
  <si>
    <t>Yes / No</t>
  </si>
  <si>
    <t>ClickUp epic
or list ID
or URL</t>
  </si>
  <si>
    <t>M-001 etc.
or blank</t>
  </si>
  <si>
    <t>Context /
comments
summary</t>
  </si>
  <si>
    <t>▶ COPY THIS ROW — fill non-AUTO fields only</t>
  </si>
  <si>
    <t>[CLIN ref]</t>
  </si>
  <si>
    <t>[Deliverable title]</t>
  </si>
  <si>
    <t>[What is being delivered and to whom]</t>
  </si>
  <si>
    <t>[Branch]</t>
  </si>
  <si>
    <t>[Owner name]</t>
  </si>
  <si>
    <t>No</t>
  </si>
  <si>
    <t>[ClickUp URL or ID]</t>
  </si>
  <si>
    <t>D-001</t>
  </si>
  <si>
    <t>CLIN 0001</t>
  </si>
  <si>
    <t>Program Management Plan</t>
  </si>
  <si>
    <t>Comprehensive PM plan covering governance, risk, schedule, and stakeholder management approach.</t>
  </si>
  <si>
    <t>1.0 Program Management</t>
  </si>
  <si>
    <t>PM</t>
  </si>
  <si>
    <t>ClickUp/PM-Plan</t>
  </si>
  <si>
    <t>M-003</t>
  </si>
  <si>
    <t>Submitted 3 days early. Accepted without comments.</t>
  </si>
  <si>
    <t>D-002</t>
  </si>
  <si>
    <t>Monthly Status Report — April 2026</t>
  </si>
  <si>
    <t>Monthly program health summary covering schedule, cost, risk, and milestone status for April 2026.</t>
  </si>
  <si>
    <t>ClickUp/MSR-Apr</t>
  </si>
  <si>
    <t>Submitted 1 day early. Accepted within 5-day review window.</t>
  </si>
  <si>
    <t>D-003</t>
  </si>
  <si>
    <t>CLIN 0002</t>
  </si>
  <si>
    <t>System Architecture Document v1.0</t>
  </si>
  <si>
    <t>Baseline architecture document describing v2 system design, integration approach, and technology stack.</t>
  </si>
  <si>
    <t>2.0 Software Development</t>
  </si>
  <si>
    <t>Tech Lead</t>
  </si>
  <si>
    <t>06/01/2026</t>
  </si>
  <si>
    <t>ClickUp/ARCH-001</t>
  </si>
  <si>
    <t>Submitted 3 days late due to API schema decision delay (BL-003). Government review window closes 06/14.</t>
  </si>
  <si>
    <t>D-004</t>
  </si>
  <si>
    <t>CLIN 0003</t>
  </si>
  <si>
    <t>GAT Entry Criteria Document</t>
  </si>
  <si>
    <t>Defines the entry criteria and acceptance standards for Government Acceptance Testing.</t>
  </si>
  <si>
    <t>5.0 OT&amp;E</t>
  </si>
  <si>
    <t>OT&amp;E Lead</t>
  </si>
  <si>
    <t>07/15/2026</t>
  </si>
  <si>
    <t>07/08/2026</t>
  </si>
  <si>
    <t>ClickUp/GAT-ENTRY</t>
  </si>
  <si>
    <t>M-007</t>
  </si>
  <si>
    <t>On track. Internal review deadline 07/08.</t>
  </si>
  <si>
    <t>D-005</t>
  </si>
  <si>
    <t>Monthly Status Report — May 2026</t>
  </si>
  <si>
    <t>Monthly program health summary covering schedule, cost, risk, and milestone status for May 2026.</t>
  </si>
  <si>
    <t>ClickUp/MSR-May</t>
  </si>
  <si>
    <t>Submitted on time. Awaiting government review — window closes 06/17.</t>
  </si>
  <si>
    <t>D-006</t>
  </si>
  <si>
    <t>Security Assessment Report (SAR)</t>
  </si>
  <si>
    <t>Documents security assessment findings, STIG compliance status, and RMF package inputs.</t>
  </si>
  <si>
    <t>3.0 Security &amp; Compliance</t>
  </si>
  <si>
    <t>Security Lead</t>
  </si>
  <si>
    <t>07/01/2026</t>
  </si>
  <si>
    <t>06/24/2026</t>
  </si>
  <si>
    <t>ClickUp/SAR-001</t>
  </si>
  <si>
    <t>M-004</t>
  </si>
  <si>
    <t>Internal review in progress. Linked to ATO timeline. On track.</t>
  </si>
  <si>
    <t>D-007</t>
  </si>
  <si>
    <t>CLIN 0004</t>
  </si>
  <si>
    <t>User Training Guide v1.0</t>
  </si>
  <si>
    <t>End-user training guide for v2 system covering core workflows and field use cases.</t>
  </si>
  <si>
    <t>6.0 Fielding &amp; Transition</t>
  </si>
  <si>
    <t>Training Lead</t>
  </si>
  <si>
    <t>Work not yet started. TrainingPro (V-004) engagement begins Q3.</t>
  </si>
  <si>
    <t>D-008</t>
  </si>
  <si>
    <t>Interface Control Document v1.0</t>
  </si>
  <si>
    <t>Documents all system interfaces, API contracts, and data exchange specifications.</t>
  </si>
  <si>
    <t>Yes</t>
  </si>
  <si>
    <t>ClickUp/ICD-001</t>
  </si>
  <si>
    <t>Submitted 5 days late. Govt returned with 12 comments on 06/01. Revision owner: Tech Lead. Revised submission target: 06/28.</t>
  </si>
  <si>
    <t>DELIVERABLE REVISION LOG  [Table: RevisionLog]</t>
  </si>
  <si>
    <t>One row per revision cycle per deliverable  •  Opened when govt returns a deliverable requiring resubmission  •  Links back to Deliverable Register via Deliverable ID</t>
  </si>
  <si>
    <t>Revision
ID</t>
  </si>
  <si>
    <t>Date Govt
Returned</t>
  </si>
  <si>
    <t>Govt Comment
Summary</t>
  </si>
  <si>
    <t>Revision
Owner</t>
  </si>
  <si>
    <t>Revised
Submission
Target</t>
  </si>
  <si>
    <t>Actual
Revised
Submission</t>
  </si>
  <si>
    <t>Days to
Resolve</t>
  </si>
  <si>
    <t>Govt
Acceptance
of Revision</t>
  </si>
  <si>
    <t>REV-001</t>
  </si>
  <si>
    <t>12 comments: (1) API versioning inconsistency in sections 3 and 7, (2) missing data dictionary for 4 endpoints, (3) error code taxonomy incomplete. Full comment matrix attached to email 06/01.</t>
  </si>
  <si>
    <t>06/28/2026</t>
  </si>
  <si>
    <t>Pending</t>
  </si>
  <si>
    <t>Revision in progress. Tech Lead reviewing all 12 comments. Target 06/28.</t>
  </si>
  <si>
    <t>▶ REV-00X</t>
  </si>
  <si>
    <t>[D-00X]</t>
  </si>
  <si>
    <t>[Govt comment summary — be specific]</t>
  </si>
  <si>
    <t>[Owner]</t>
  </si>
  <si>
    <t>DELIVERABLE SUMMARY DASHBOARD</t>
  </si>
  <si>
    <t>Auto-calculated from Deliverable Register and Revision Log  •  Designed for government customer meetings and MSR preparation  •  Do not edit directly</t>
  </si>
  <si>
    <t>DELIVERY PERFORMANCE — SUBMITTED DELIVERABLES</t>
  </si>
  <si>
    <t>Metric</t>
  </si>
  <si>
    <t>Count / Value</t>
  </si>
  <si>
    <t>Total Deliverables on Contract</t>
  </si>
  <si>
    <t>Submitted (all time)</t>
  </si>
  <si>
    <t>Accepted (no revision required)</t>
  </si>
  <si>
    <t>Submitted Early</t>
  </si>
  <si>
    <t>Submitted On Time</t>
  </si>
  <si>
    <t>Submitted Late</t>
  </si>
  <si>
    <t>Revision Required (open)</t>
  </si>
  <si>
    <t>Overdue (not yet submitted)</t>
  </si>
  <si>
    <t>On-Time Delivery Rate</t>
  </si>
  <si>
    <t>UPCOMING — DUE WITHIN 60 DAYS</t>
  </si>
  <si>
    <t>Deliverable ID</t>
  </si>
  <si>
    <t>Title</t>
  </si>
  <si>
    <t>Branch Owner</t>
  </si>
  <si>
    <t>Baseline Due</t>
  </si>
  <si>
    <t>Internal Review Deadline</t>
  </si>
  <si>
    <t>Current Status</t>
  </si>
  <si>
    <t>ACTION REQUIRED — REVISION CYCLES OPEN</t>
  </si>
  <si>
    <t>Govt Returned</t>
  </si>
  <si>
    <t>Revised Target</t>
  </si>
  <si>
    <t>Days Open</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</si>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</sst>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1" x14ac:knownFonts="1">
    <font>
      <sz val="11"/>
      <color theme="1"/>
      <name val="Calibri"/>
      <family val="2"/>
      <charset val="1"/>
    </font>
    <font>
      <b/>
      <sz val="14"/>
      <color rgb="FFFFFFFF"/>
      <name val="Arial"/>
      <charset val="1"/>
    </font>
    <font>
      <i/>
      <sz val="10"/>
      <color rgb="FF666666"/>
      <name val="Arial"/>
      <charset val="1"/>
    </font>
    <font>
      <b/>
      <sz val="11"/>
      <color rgb="FFFFFFFF"/>
      <name val="Arial"/>
      <charset val="1"/>
    </font>
    <font>
      <b/>
      <sz val="10"/>
      <name val="Arial"/>
      <charset val="1"/>
    </font>
    <font>
      <sz val="10"/>
      <name val="Arial"/>
      <charset val="1"/>
    </font>
    <font>
      <b/>
      <sz val="10"/>
      <color rgb="FFFFFFFF"/>
      <name val="Arial"/>
      <charset val="1"/>
    </font>
    <font>
      <b/>
      <sz val="10"/>
      <color rgb="FF276221"/>
      <name val="Arial"/>
      <charset val="1"/>
    </font>
    <font>
      <sz val="10"/>
      <color rgb="FF276221"/>
      <name val="Arial"/>
      <charset val="1"/>
    </font>
    <font>
      <b/>
      <sz val="10"/>
      <color rgb="FF1F3864"/>
      <name val="Arial"/>
      <charset val="1"/>
    </font>
    <font>
      <sz val="10"/>
      <color rgb="FF1F3864"/>
      <name val="Arial"/>
      <charset val="1"/>
    </font>
    <font>
      <b/>
      <sz val="10"/>
      <color rgb="FF9C6500"/>
      <name val="Arial"/>
      <charset val="1"/>
    </font>
    <font>
      <sz val="10"/>
      <color rgb="FF9C6500"/>
      <name val="Arial"/>
      <charset val="1"/>
    </font>
    <font>
      <b/>
      <sz val="10"/>
      <color rgb="FF833C00"/>
      <name val="Arial"/>
      <charset val="1"/>
    </font>
    <font>
      <sz val="10"/>
      <color rgb="FF833C00"/>
      <name val="Arial"/>
      <charset val="1"/>
    </font>
    <font>
      <b/>
      <sz val="10"/>
      <color rgb="FF9C0006"/>
      <name val="Arial"/>
      <charset val="1"/>
    </font>
    <font>
      <sz val="10"/>
      <color rgb="FF9C0006"/>
      <name val="Arial"/>
      <charset val="1"/>
    </font>
    <font>
      <sz val="10"/>
      <color rgb="FF000000"/>
      <name val="Arial"/>
      <charset val="1"/>
    </font>
    <font>
      <i/>
      <sz val="8"/>
      <color rgb="FF555555"/>
      <name val="Arial"/>
      <charset val="1"/>
    </font>
    <font>
      <b/>
      <sz val="10"/>
      <color rgb="FF1E4620"/>
      <name val="Arial"/>
      <charset val="1"/>
    </font>
    <font>
      <i/>
      <sz val="10"/>
      <color rgb="FF1E4620"/>
      <name val="Arial"/>
      <charset val="1"/>
    </font>
  </fonts>
  <fills count="14">
    <fill>
      <patternFill patternType="none"/>
    </fill>
    <fill>
      <patternFill patternType="gray125"/>
    </fill>
    <fill>
      <patternFill patternType="solid">
        <fgColor rgb="FF1F3864"/>
        <bgColor rgb="FF2E4D8A"/>
      </patternFill>
    </fill>
    <fill>
      <patternFill patternType="solid">
        <fgColor rgb="FFD9E1F2"/>
        <bgColor rgb="FFDDEBF7"/>
      </patternFill>
    </fill>
    <fill>
      <patternFill patternType="solid">
        <fgColor rgb="FFFFFFFF"/>
        <bgColor rgb="FFF7F7F7"/>
      </patternFill>
    </fill>
    <fill>
      <patternFill patternType="solid">
        <fgColor rgb="FF2E4D8A"/>
        <bgColor rgb="FF1F3864"/>
      </patternFill>
    </fill>
    <fill>
      <patternFill patternType="solid">
        <fgColor rgb="FFC6EFCE"/>
        <bgColor rgb="FFE2EFDA"/>
      </patternFill>
    </fill>
    <fill>
      <patternFill patternType="solid">
        <fgColor rgb="FFDDEBF7"/>
        <bgColor rgb="FFD9E1F2"/>
      </patternFill>
    </fill>
    <fill>
      <patternFill patternType="solid">
        <fgColor rgb="FFFFEB9C"/>
        <bgColor rgb="FFFCE4D6"/>
      </patternFill>
    </fill>
    <fill>
      <patternFill patternType="solid">
        <fgColor rgb="FFE2EFDA"/>
        <bgColor rgb="FFDDEBF7"/>
      </patternFill>
    </fill>
    <fill>
      <patternFill patternType="solid">
        <fgColor rgb="FFFCE4D6"/>
        <bgColor rgb="FFF2F2F2"/>
      </patternFill>
    </fill>
    <fill>
      <patternFill patternType="solid">
        <fgColor rgb="FFFFCCCC"/>
        <bgColor rgb="FFFCE4D6"/>
      </patternFill>
    </fill>
    <fill>
      <patternFill patternType="solid">
        <fgColor rgb="FFF7F7F7"/>
        <bgColor rgb="FFF2F2F2"/>
      </patternFill>
    </fill>
    <fill>
      <patternFill patternType="solid">
        <fgColor rgb="FF9C0006"/>
        <bgColor rgb="FF8000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2">
    <xf numFmtId="0" fontId="0" fillId="0" borderId="0" xfId="0"/>
    <xf numFmtId="0" fontId="3" fillId="13" borderId="0" xfId="0" applyFont="1" applyFill="1" applyAlignment="1">
      <alignment horizontal="center" vertical="center"/>
    </xf>
    <xf numFmtId="9" fontId="5" fillId="6" borderId="1" xfId="0" applyNumberFormat="1" applyFont="1" applyFill="1" applyBorder="1" applyAlignment="1">
      <alignment horizontal="center" vertical="center"/>
    </xf>
    <xf numFmtId="0" fontId="5" fillId="11" borderId="1" xfId="0" applyFont="1" applyFill="1" applyBorder="1" applyAlignment="1">
      <alignment horizontal="center" vertical="center"/>
    </xf>
    <xf numFmtId="0" fontId="5" fillId="10"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3" borderId="1" xfId="0" applyFont="1" applyFill="1" applyBorder="1" applyAlignment="1">
      <alignment horizontal="center" vertical="center"/>
    </xf>
    <xf numFmtId="0" fontId="3" fillId="5" borderId="0" xfId="0" applyFont="1" applyFill="1" applyAlignment="1">
      <alignment horizontal="center" vertical="center"/>
    </xf>
    <xf numFmtId="0" fontId="17" fillId="3" borderId="1" xfId="0" applyFont="1" applyFill="1" applyBorder="1" applyAlignment="1">
      <alignment horizontal="left" vertical="center" wrapText="1"/>
    </xf>
    <xf numFmtId="0" fontId="17"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3" fillId="2" borderId="0" xfId="0" applyFont="1" applyFill="1" applyAlignment="1">
      <alignment horizontal="center" vertical="center"/>
    </xf>
    <xf numFmtId="0" fontId="2" fillId="0" borderId="0" xfId="0" applyFont="1" applyAlignment="1">
      <alignment horizontal="center" vertical="center" wrapText="1"/>
    </xf>
    <xf numFmtId="0" fontId="1" fillId="2" borderId="0" xfId="0" applyFont="1" applyFill="1" applyAlignment="1">
      <alignment horizontal="center" vertical="center"/>
    </xf>
    <xf numFmtId="0" fontId="4"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0" fontId="10" fillId="3" borderId="1" xfId="0" applyFont="1" applyFill="1" applyBorder="1" applyAlignment="1">
      <alignment horizontal="left" vertical="center" wrapText="1"/>
    </xf>
    <xf numFmtId="0" fontId="11" fillId="8" borderId="1" xfId="0" applyFont="1" applyFill="1" applyBorder="1" applyAlignment="1">
      <alignment horizontal="left" vertical="center" wrapText="1"/>
    </xf>
    <xf numFmtId="0" fontId="12" fillId="8"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8" fillId="9" borderId="1" xfId="0" applyFont="1" applyFill="1" applyBorder="1" applyAlignment="1">
      <alignment horizontal="left" vertical="center" wrapText="1"/>
    </xf>
    <xf numFmtId="0" fontId="13" fillId="10" borderId="1" xfId="0" applyFont="1" applyFill="1" applyBorder="1" applyAlignment="1">
      <alignment horizontal="left" vertical="center" wrapText="1"/>
    </xf>
    <xf numFmtId="0" fontId="14" fillId="10" borderId="1" xfId="0" applyFont="1" applyFill="1" applyBorder="1" applyAlignment="1">
      <alignment horizontal="left" vertical="center" wrapText="1"/>
    </xf>
    <xf numFmtId="0" fontId="15" fillId="11" borderId="1" xfId="0" applyFont="1" applyFill="1" applyBorder="1" applyAlignment="1">
      <alignment horizontal="left" vertical="center" wrapText="1"/>
    </xf>
    <xf numFmtId="0" fontId="16" fillId="11" borderId="1" xfId="0" applyFont="1" applyFill="1" applyBorder="1" applyAlignment="1">
      <alignment horizontal="left" vertical="center" wrapText="1"/>
    </xf>
    <xf numFmtId="0" fontId="17" fillId="4" borderId="1"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18" fillId="12" borderId="1" xfId="0" applyFont="1" applyFill="1" applyBorder="1" applyAlignment="1">
      <alignment horizontal="center" vertical="center" wrapText="1"/>
    </xf>
    <xf numFmtId="0" fontId="19" fillId="9" borderId="1" xfId="0" applyFont="1" applyFill="1" applyBorder="1" applyAlignment="1">
      <alignment horizontal="left" vertical="center" wrapText="1"/>
    </xf>
    <xf numFmtId="0" fontId="20" fillId="9" borderId="1" xfId="0" applyFont="1" applyFill="1" applyBorder="1" applyAlignment="1">
      <alignment horizontal="left" vertical="center" wrapText="1"/>
    </xf>
    <xf numFmtId="1" fontId="20" fillId="9" borderId="1" xfId="0" applyNumberFormat="1" applyFont="1" applyFill="1" applyBorder="1" applyAlignment="1">
      <alignment horizontal="center" vertical="center"/>
    </xf>
    <xf numFmtId="0" fontId="20" fillId="9" borderId="1" xfId="0" applyFont="1" applyFill="1" applyBorder="1" applyAlignment="1">
      <alignment horizontal="center" vertical="center"/>
    </xf>
    <xf numFmtId="1" fontId="5"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4" fillId="10" borderId="1" xfId="0" applyFont="1" applyFill="1" applyBorder="1" applyAlignment="1">
      <alignment horizontal="left" vertical="center" wrapText="1"/>
    </xf>
    <xf numFmtId="0" fontId="4" fillId="11"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0" fontId="15" fillId="11" borderId="1" xfId="0" applyFont="1" applyFill="1" applyBorder="1" applyAlignment="1">
      <alignment horizontal="center" vertical="center"/>
    </xf>
    <xf numFmtId="164" fontId="5" fillId="3" borderId="1" xfId="0" applyNumberFormat="1" applyFont="1" applyFill="1" applyBorder="1" applyAlignment="1">
      <alignment horizontal="center" vertical="center"/>
    </xf>
    <xf numFmtId="164" fontId="5" fillId="3" borderId="1" xfId="0" applyNumberFormat="1" applyFont="1" applyFill="1" applyBorder="1" applyAlignment="1">
      <alignment horizontal="left" vertical="center" wrapText="1"/>
    </xf>
    <xf numFmtId="164" fontId="5" fillId="4" borderId="1" xfId="0" applyNumberFormat="1" applyFont="1" applyFill="1" applyBorder="1" applyAlignment="1">
      <alignment horizontal="left" vertical="center" wrapText="1"/>
    </xf>
  </cellXfs>
  <cellStyles count="1">
    <cellStyle name="Normal" xfId="0" builtinId="0"/>
  </cellStyles>
  <dxfs count="25">
    <dxf>
      <font>
        <color rgb="FF9C0006"/>
      </font>
      <fill>
        <patternFill patternType="solid">
          <fgColor indexed="64"/>
          <bgColor rgb="FFFFCCCC"/>
        </patternFill>
      </fill>
    </dxf>
    <dxf>
      <font>
        <color rgb="FF1F3864"/>
      </font>
      <fill>
        <patternFill patternType="solid">
          <fgColor indexed="64"/>
          <bgColor rgb="FFDDEBF7"/>
        </patternFill>
      </fill>
    </dxf>
    <dxf>
      <font>
        <color rgb="FF276221"/>
      </font>
      <fill>
        <patternFill patternType="solid">
          <fgColor indexed="64"/>
          <bgColor rgb="FFC6EFCE"/>
        </patternFill>
      </fill>
    </dxf>
    <dxf>
      <font>
        <color rgb="FF9C0006"/>
      </font>
      <fill>
        <patternFill patternType="solid">
          <fgColor indexed="64"/>
          <bgColor rgb="FFFFCCCC"/>
        </patternFill>
      </fill>
    </dxf>
    <dxf>
      <font>
        <color rgb="FF1F3864"/>
      </font>
      <fill>
        <patternFill patternType="solid">
          <fgColor indexed="64"/>
          <bgColor rgb="FFDDEBF7"/>
        </patternFill>
      </fill>
    </dxf>
    <dxf>
      <font>
        <color rgb="FF276221"/>
      </font>
      <fill>
        <patternFill patternType="solid">
          <fgColor indexed="64"/>
          <bgColor rgb="FFC6EFCE"/>
        </patternFill>
      </fill>
    </dxf>
    <dxf>
      <font>
        <color rgb="FF276221"/>
      </font>
      <fill>
        <patternFill patternType="solid">
          <fgColor indexed="64"/>
          <bgColor rgb="FFC6EFCE"/>
        </patternFill>
      </fill>
    </dxf>
    <dxf>
      <font>
        <color rgb="FF1F3864"/>
      </font>
      <fill>
        <patternFill patternType="solid">
          <fgColor indexed="64"/>
          <bgColor rgb="FFDDEBF7"/>
        </patternFill>
      </fill>
    </dxf>
    <dxf>
      <font>
        <color rgb="FF9C0006"/>
      </font>
      <fill>
        <patternFill patternType="solid">
          <fgColor indexed="64"/>
          <bgColor rgb="FFFFCCCC"/>
        </patternFill>
      </fill>
    </dxf>
    <dxf>
      <font>
        <sz val="10"/>
        <color rgb="FF9C6500"/>
        <name val="Arial"/>
        <charset val="1"/>
      </font>
      <fill>
        <patternFill>
          <bgColor rgb="FFFFEB9C"/>
        </patternFill>
      </fill>
    </dxf>
    <dxf>
      <font>
        <sz val="10"/>
        <color rgb="FF276221"/>
        <name val="Arial"/>
        <charset val="1"/>
      </font>
      <fill>
        <patternFill>
          <bgColor rgb="FFC6EFCE"/>
        </patternFill>
      </fill>
    </dxf>
    <dxf>
      <font>
        <b/>
        <sz val="10"/>
        <color rgb="FF9C0006"/>
        <name val="Arial"/>
        <charset val="1"/>
      </font>
      <fill>
        <patternFill>
          <bgColor rgb="FFFFCCCC"/>
        </patternFill>
      </fill>
    </dxf>
    <dxf>
      <font>
        <b/>
        <sz val="10"/>
        <color rgb="FF833C00"/>
        <name val="Arial"/>
        <charset val="1"/>
      </font>
      <fill>
        <patternFill>
          <bgColor rgb="FFFCE4D6"/>
        </patternFill>
      </fill>
    </dxf>
    <dxf>
      <font>
        <sz val="10"/>
        <color rgb="FF444444"/>
        <name val="Arial"/>
        <charset val="1"/>
      </font>
      <fill>
        <patternFill>
          <bgColor rgb="FFF2F2F2"/>
        </patternFill>
      </fill>
    </dxf>
    <dxf>
      <font>
        <sz val="10"/>
        <color rgb="FF1F3864"/>
        <name val="Arial"/>
        <charset val="1"/>
      </font>
      <fill>
        <patternFill>
          <bgColor rgb="FFD9E1F2"/>
        </patternFill>
      </fill>
    </dxf>
    <dxf>
      <font>
        <sz val="10"/>
        <color rgb="FF1F3864"/>
        <name val="Arial"/>
        <charset val="1"/>
      </font>
      <fill>
        <patternFill>
          <bgColor rgb="FFDDEBF7"/>
        </patternFill>
      </fill>
    </dxf>
    <dxf>
      <font>
        <sz val="10"/>
        <color rgb="FF276221"/>
        <name val="Arial"/>
        <charset val="1"/>
      </font>
      <fill>
        <patternFill>
          <bgColor rgb="FFE2EFDA"/>
        </patternFill>
      </fill>
    </dxf>
    <dxf>
      <font>
        <sz val="10"/>
        <color rgb="FF276221"/>
        <name val="Arial"/>
        <charset val="1"/>
      </font>
      <fill>
        <patternFill>
          <bgColor rgb="FFC6EFCE"/>
        </patternFill>
      </fill>
    </dxf>
    <dxf>
      <font>
        <b/>
        <sz val="10"/>
        <color rgb="FF9C0006"/>
        <name val="Arial"/>
        <charset val="1"/>
      </font>
      <fill>
        <patternFill>
          <bgColor rgb="FFFFCCCC"/>
        </patternFill>
      </fill>
    </dxf>
    <dxf>
      <font>
        <b/>
        <sz val="10"/>
        <color rgb="FF1F3864"/>
        <name val="Arial"/>
        <charset val="1"/>
      </font>
      <fill>
        <patternFill>
          <bgColor rgb="FFDDEBF7"/>
        </patternFill>
      </fill>
    </dxf>
    <dxf>
      <font>
        <b/>
        <sz val="10"/>
        <color rgb="FF276221"/>
        <name val="Arial"/>
        <charset val="1"/>
      </font>
      <fill>
        <patternFill>
          <bgColor rgb="FFC6EFCE"/>
        </patternFill>
      </fill>
    </dxf>
    <dxf>
      <font>
        <b/>
        <sz val="10"/>
        <color rgb="FF9C0006"/>
        <name val="Arial"/>
        <charset val="1"/>
      </font>
      <fill>
        <patternFill>
          <bgColor rgb="FFFFCCCC"/>
        </patternFill>
      </fill>
    </dxf>
    <dxf>
      <font>
        <b/>
        <sz val="10"/>
        <color rgb="FF1F3864"/>
        <name val="Arial"/>
        <charset val="1"/>
      </font>
      <fill>
        <patternFill>
          <bgColor rgb="FFDDEBF7"/>
        </patternFill>
      </fill>
    </dxf>
    <dxf>
      <font>
        <b/>
        <sz val="10"/>
        <color rgb="FF276221"/>
        <name val="Arial"/>
        <charset val="1"/>
      </font>
      <fill>
        <patternFill>
          <bgColor rgb="FFC6EFCE"/>
        </patternFill>
      </fill>
    </dxf>
    <dxf>
      <font>
        <b/>
        <sz val="10"/>
        <color rgb="FF9C0006"/>
        <name val="Arial"/>
        <charset val="1"/>
      </font>
      <fill>
        <patternFill>
          <bgColor rgb="FFFF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276221"/>
      <rgbColor rgb="FF000080"/>
      <rgbColor rgb="FF9C6500"/>
      <rgbColor rgb="FF800080"/>
      <rgbColor rgb="FF008080"/>
      <rgbColor rgb="FFCCCCCC"/>
      <rgbColor rgb="FF555555"/>
      <rgbColor rgb="FF9999FF"/>
      <rgbColor rgb="FF993366"/>
      <rgbColor rgb="FFF7F7F7"/>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2EFDA"/>
      <rgbColor rgb="FFC6EFCE"/>
      <rgbColor rgb="FFFFEB9C"/>
      <rgbColor rgb="FFF2F2F2"/>
      <rgbColor rgb="FFFCE4D6"/>
      <rgbColor rgb="FFCC99FF"/>
      <rgbColor rgb="FFFFCCCC"/>
      <rgbColor rgb="FF3366FF"/>
      <rgbColor rgb="FF33CCCC"/>
      <rgbColor rgb="FF99CC00"/>
      <rgbColor rgb="FFFFCC00"/>
      <rgbColor rgb="FFFF9900"/>
      <rgbColor rgb="FFFF6600"/>
      <rgbColor rgb="FF666666"/>
      <rgbColor rgb="FF969696"/>
      <rgbColor rgb="FF1F3864"/>
      <rgbColor rgb="FF339966"/>
      <rgbColor rgb="FF003300"/>
      <rgbColor rgb="FF1E4620"/>
      <rgbColor rgb="FF833C00"/>
      <rgbColor rgb="FF993366"/>
      <rgbColor rgb="FF2E4D8A"/>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liverableRegister" displayName="DeliverableRegister" ref="A3:V13" totalsRowShown="0">
  <autoFilter ref="A3:V13" xr:uid="{00000000-0009-0000-0100-000001000000}"/>
  <tableColumns count="22">
    <tableColumn id="1" xr3:uid="{00000000-0010-0000-0000-000001000000}" name="Deliverable_x000a_ID"/>
    <tableColumn id="2" xr3:uid="{00000000-0010-0000-0000-000002000000}" name="CLIN /_x000a_Contract Ref"/>
    <tableColumn id="3" xr3:uid="{00000000-0010-0000-0000-000003000000}" name="Deliverable_x000a_Type"/>
    <tableColumn id="4" xr3:uid="{00000000-0010-0000-0000-000004000000}" name="Deliverable_x000a_Title"/>
    <tableColumn id="5" xr3:uid="{00000000-0010-0000-0000-000005000000}" name="Description_x000a_(what it is)"/>
    <tableColumn id="6" xr3:uid="{00000000-0010-0000-0000-000006000000}" name="Branch_x000a_Owner"/>
    <tableColumn id="7" xr3:uid="{00000000-0010-0000-0000-000007000000}" name="Deliverable_x000a_Owner"/>
    <tableColumn id="8" xr3:uid="{00000000-0010-0000-0000-000008000000}" name="Baseline_x000a_Due Date"/>
    <tableColumn id="9" xr3:uid="{00000000-0010-0000-0000-000009000000}" name="Internal_x000a_Review_x000a_Deadline"/>
    <tableColumn id="10" xr3:uid="{00000000-0010-0000-0000-00000A000000}" name="Actual_x000a_Submission_x000a_Date"/>
    <tableColumn id="11" xr3:uid="{00000000-0010-0000-0000-00000B000000}" name="Days Early_x000a_or Late"/>
    <tableColumn id="12" xr3:uid="{00000000-0010-0000-0000-00000C000000}" name="Early /_x000a_Late /_x000a_On Time"/>
    <tableColumn id="13" xr3:uid="{00000000-0010-0000-0000-00000D000000}" name="Govt Review_x000a_Period (days)"/>
    <tableColumn id="14" xr3:uid="{00000000-0010-0000-0000-00000E000000}" name="Govt Review_x000a_Deadline"/>
    <tableColumn id="15" xr3:uid="{00000000-0010-0000-0000-00000F000000}" name="Govt_x000a_Acceptance_x000a_Date"/>
    <tableColumn id="16" xr3:uid="{00000000-0010-0000-0000-000010000000}" name="Current_x000a_Status"/>
    <tableColumn id="17" xr3:uid="{00000000-0010-0000-0000-000011000000}" name="Revision_x000a_Cycle #"/>
    <tableColumn id="18" xr3:uid="{00000000-0010-0000-0000-000012000000}" name="Revision_x000a_Required?"/>
    <tableColumn id="19" xr3:uid="{00000000-0010-0000-0000-000013000000}" name="ClickUp_x000a_Reference"/>
    <tableColumn id="20" xr3:uid="{00000000-0010-0000-0000-000014000000}" name="Related_x000a_Milestone ID"/>
    <tableColumn id="21" xr3:uid="{00000000-0010-0000-0000-000015000000}" name="Escalate to_x000a_Customer?"/>
    <tableColumn id="22" xr3:uid="{00000000-0010-0000-0000-000016000000}" name="Note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visionLog" displayName="RevisionLog" ref="A3:L5" totalsRowShown="0">
  <autoFilter ref="A3:L5" xr:uid="{00000000-0009-0000-0100-000002000000}"/>
  <tableColumns count="12">
    <tableColumn id="1" xr3:uid="{00000000-0010-0000-0100-000001000000}" name="Revision_x000a_ID"/>
    <tableColumn id="2" xr3:uid="{00000000-0010-0000-0100-000002000000}" name="Deliverable_x000a_ID"/>
    <tableColumn id="3" xr3:uid="{00000000-0010-0000-0100-000003000000}" name="Deliverable_x000a_Title"/>
    <tableColumn id="4" xr3:uid="{00000000-0010-0000-0100-000004000000}" name="Revision_x000a_Cycle #"/>
    <tableColumn id="5" xr3:uid="{00000000-0010-0000-0100-000005000000}" name="Date Govt_x000a_Returned"/>
    <tableColumn id="6" xr3:uid="{00000000-0010-0000-0100-000006000000}" name="Govt Comment_x000a_Summary"/>
    <tableColumn id="7" xr3:uid="{00000000-0010-0000-0100-000007000000}" name="Revision_x000a_Owner"/>
    <tableColumn id="8" xr3:uid="{00000000-0010-0000-0100-000008000000}" name="Revised_x000a_Submission_x000a_Target"/>
    <tableColumn id="9" xr3:uid="{00000000-0010-0000-0100-000009000000}" name="Actual_x000a_Revised_x000a_Submission"/>
    <tableColumn id="10" xr3:uid="{00000000-0010-0000-0100-00000A000000}" name="Days to_x000a_Resolve"/>
    <tableColumn id="11" xr3:uid="{00000000-0010-0000-0100-00000B000000}" name="Govt_x000a_Acceptance_x000a_of Revision"/>
    <tableColumn id="12" xr3:uid="{00000000-0010-0000-0100-00000C000000}" name="Not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7446605-27D2-4A10-AAC0-89F248E7D28E}">
  <we:reference id="wa200009404" version="1.0.0.8" store="en-US" storeType="OMEX"/>
  <we:alternateReferences>
    <we:reference id="wa200009404" version="1.0.0.8" store="en-US" storeType="OMEX"/>
  </we:alternateReferences>
  <we:properties>
    <we:property name="claude.fileId" value="&quot;f23eb332-ccfe-4ac6-8986-d675c21896f6&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showGridLines="0" zoomScaleNormal="100" workbookViewId="0">
      <selection sqref="A1:C1"/>
    </sheetView>
  </sheetViews>
  <sheetFormatPr defaultColWidth="8.6328125" defaultRowHeight="14.5" x14ac:dyDescent="0.35"/>
  <cols>
    <col min="1" max="1" width="22" customWidth="1"/>
    <col min="2" max="2" width="52" customWidth="1"/>
    <col min="3" max="3" width="36" customWidth="1"/>
  </cols>
  <sheetData>
    <row r="1" spans="1:3" ht="36" customHeight="1" x14ac:dyDescent="0.35">
      <c r="A1" s="14" t="s">
        <v>0</v>
      </c>
      <c r="B1" s="14"/>
      <c r="C1" s="14"/>
    </row>
    <row r="2" spans="1:3" ht="21.75" customHeight="1" x14ac:dyDescent="0.35">
      <c r="A2" s="13" t="s">
        <v>1</v>
      </c>
      <c r="B2" s="13"/>
      <c r="C2" s="13"/>
    </row>
    <row r="4" spans="1:3" ht="24" customHeight="1" x14ac:dyDescent="0.35">
      <c r="A4" s="12" t="s">
        <v>2</v>
      </c>
      <c r="B4" s="12"/>
      <c r="C4" s="12"/>
    </row>
    <row r="5" spans="1:3" ht="48" customHeight="1" x14ac:dyDescent="0.35">
      <c r="A5" s="15" t="s">
        <v>3</v>
      </c>
      <c r="B5" s="11" t="s">
        <v>4</v>
      </c>
      <c r="C5" s="11"/>
    </row>
    <row r="6" spans="1:3" ht="48" customHeight="1" x14ac:dyDescent="0.35">
      <c r="A6" s="17" t="s">
        <v>5</v>
      </c>
      <c r="B6" s="10" t="s">
        <v>6</v>
      </c>
      <c r="C6" s="10"/>
    </row>
    <row r="7" spans="1:3" ht="48" customHeight="1" x14ac:dyDescent="0.35">
      <c r="A7" s="15" t="s">
        <v>7</v>
      </c>
      <c r="B7" s="11" t="s">
        <v>8</v>
      </c>
      <c r="C7" s="11"/>
    </row>
    <row r="8" spans="1:3" ht="48" customHeight="1" x14ac:dyDescent="0.35">
      <c r="A8" s="17" t="s">
        <v>9</v>
      </c>
      <c r="B8" s="10" t="s">
        <v>10</v>
      </c>
      <c r="C8" s="10"/>
    </row>
    <row r="9" spans="1:3" ht="48" customHeight="1" x14ac:dyDescent="0.35">
      <c r="A9" s="15" t="s">
        <v>11</v>
      </c>
      <c r="B9" s="11" t="s">
        <v>12</v>
      </c>
      <c r="C9" s="11"/>
    </row>
    <row r="10" spans="1:3" ht="48" customHeight="1" x14ac:dyDescent="0.35">
      <c r="A10" s="17" t="s">
        <v>13</v>
      </c>
      <c r="B10" s="10" t="s">
        <v>14</v>
      </c>
      <c r="C10" s="10"/>
    </row>
    <row r="12" spans="1:3" ht="24" customHeight="1" x14ac:dyDescent="0.35">
      <c r="A12" s="12" t="s">
        <v>15</v>
      </c>
      <c r="B12" s="12"/>
      <c r="C12" s="12"/>
    </row>
    <row r="13" spans="1:3" ht="24" customHeight="1" x14ac:dyDescent="0.35">
      <c r="A13" s="19" t="s">
        <v>16</v>
      </c>
      <c r="B13" s="19" t="s">
        <v>17</v>
      </c>
      <c r="C13" s="19" t="s">
        <v>18</v>
      </c>
    </row>
    <row r="14" spans="1:3" ht="39.75" customHeight="1" x14ac:dyDescent="0.35">
      <c r="A14" s="20" t="s">
        <v>19</v>
      </c>
      <c r="B14" s="21" t="s">
        <v>20</v>
      </c>
      <c r="C14" s="21" t="s">
        <v>21</v>
      </c>
    </row>
    <row r="15" spans="1:3" ht="39.75" customHeight="1" x14ac:dyDescent="0.35">
      <c r="A15" s="22" t="s">
        <v>22</v>
      </c>
      <c r="B15" s="23" t="s">
        <v>23</v>
      </c>
      <c r="C15" s="23" t="s">
        <v>24</v>
      </c>
    </row>
    <row r="16" spans="1:3" ht="39.75" customHeight="1" x14ac:dyDescent="0.35">
      <c r="A16" s="24" t="s">
        <v>25</v>
      </c>
      <c r="B16" s="25" t="s">
        <v>26</v>
      </c>
      <c r="C16" s="25" t="s">
        <v>27</v>
      </c>
    </row>
    <row r="17" spans="1:3" ht="39.75" customHeight="1" x14ac:dyDescent="0.35">
      <c r="A17" s="26" t="s">
        <v>28</v>
      </c>
      <c r="B17" s="27" t="s">
        <v>29</v>
      </c>
      <c r="C17" s="27" t="s">
        <v>30</v>
      </c>
    </row>
    <row r="18" spans="1:3" ht="39.75" customHeight="1" x14ac:dyDescent="0.35">
      <c r="A18" s="20" t="s">
        <v>31</v>
      </c>
      <c r="B18" s="21" t="s">
        <v>32</v>
      </c>
      <c r="C18" s="21" t="s">
        <v>33</v>
      </c>
    </row>
    <row r="19" spans="1:3" ht="39.75" customHeight="1" x14ac:dyDescent="0.35">
      <c r="A19" s="28" t="s">
        <v>34</v>
      </c>
      <c r="B19" s="29" t="s">
        <v>35</v>
      </c>
      <c r="C19" s="29" t="s">
        <v>36</v>
      </c>
    </row>
    <row r="20" spans="1:3" ht="39.75" customHeight="1" x14ac:dyDescent="0.35">
      <c r="A20" s="30" t="s">
        <v>37</v>
      </c>
      <c r="B20" s="31" t="s">
        <v>38</v>
      </c>
      <c r="C20" s="31" t="s">
        <v>39</v>
      </c>
    </row>
    <row r="21" spans="1:3" ht="39.75" customHeight="1" x14ac:dyDescent="0.35">
      <c r="A21" s="32" t="s">
        <v>40</v>
      </c>
      <c r="B21" s="33" t="s">
        <v>41</v>
      </c>
      <c r="C21" s="33" t="s">
        <v>42</v>
      </c>
    </row>
    <row r="22" spans="1:3" ht="24" customHeight="1" x14ac:dyDescent="0.35">
      <c r="A22" s="12" t="s">
        <v>43</v>
      </c>
      <c r="B22" s="12"/>
      <c r="C22" s="12"/>
    </row>
    <row r="23" spans="1:3" ht="24" customHeight="1" x14ac:dyDescent="0.35">
      <c r="A23" s="19" t="s">
        <v>44</v>
      </c>
      <c r="B23" s="19" t="s">
        <v>17</v>
      </c>
    </row>
    <row r="24" spans="1:3" ht="36" customHeight="1" x14ac:dyDescent="0.35">
      <c r="A24" s="34" t="s">
        <v>45</v>
      </c>
      <c r="B24" s="9" t="s">
        <v>46</v>
      </c>
      <c r="C24" s="9"/>
    </row>
    <row r="25" spans="1:3" ht="36" customHeight="1" x14ac:dyDescent="0.35">
      <c r="A25" s="35" t="s">
        <v>47</v>
      </c>
      <c r="B25" s="8" t="s">
        <v>48</v>
      </c>
      <c r="C25" s="8"/>
    </row>
    <row r="26" spans="1:3" ht="36" customHeight="1" x14ac:dyDescent="0.35">
      <c r="A26" s="34" t="s">
        <v>49</v>
      </c>
      <c r="B26" s="9" t="s">
        <v>50</v>
      </c>
      <c r="C26" s="9"/>
    </row>
    <row r="27" spans="1:3" ht="36" customHeight="1" x14ac:dyDescent="0.35">
      <c r="A27" s="35" t="s">
        <v>51</v>
      </c>
      <c r="B27" s="8" t="s">
        <v>52</v>
      </c>
      <c r="C27" s="8"/>
    </row>
    <row r="28" spans="1:3" ht="36" customHeight="1" x14ac:dyDescent="0.35">
      <c r="A28" s="34" t="s">
        <v>53</v>
      </c>
      <c r="B28" s="9" t="s">
        <v>54</v>
      </c>
      <c r="C28" s="9"/>
    </row>
    <row r="29" spans="1:3" ht="36" customHeight="1" x14ac:dyDescent="0.35">
      <c r="A29" s="35" t="s">
        <v>55</v>
      </c>
      <c r="B29" s="8" t="s">
        <v>56</v>
      </c>
      <c r="C29" s="8"/>
    </row>
    <row r="30" spans="1:3" ht="36" customHeight="1" x14ac:dyDescent="0.35">
      <c r="A30" s="34" t="s">
        <v>57</v>
      </c>
      <c r="B30" s="9" t="s">
        <v>58</v>
      </c>
      <c r="C30" s="9"/>
    </row>
  </sheetData>
  <mergeCells count="18">
    <mergeCell ref="B28:C28"/>
    <mergeCell ref="B29:C29"/>
    <mergeCell ref="B30:C30"/>
    <mergeCell ref="A22:C22"/>
    <mergeCell ref="B24:C24"/>
    <mergeCell ref="B25:C25"/>
    <mergeCell ref="B26:C26"/>
    <mergeCell ref="B27:C27"/>
    <mergeCell ref="B7:C7"/>
    <mergeCell ref="B8:C8"/>
    <mergeCell ref="B9:C9"/>
    <mergeCell ref="B10:C10"/>
    <mergeCell ref="A12:C12"/>
    <mergeCell ref="A1:C1"/>
    <mergeCell ref="A2:C2"/>
    <mergeCell ref="A4:C4"/>
    <mergeCell ref="B5:C5"/>
    <mergeCell ref="B6:C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3"/>
  <sheetViews>
    <sheetView showGridLines="0" tabSelected="1" topLeftCell="D1" zoomScaleNormal="100" workbookViewId="0">
      <pane ySplit="4" topLeftCell="A6" activePane="bottomLeft" state="frozen"/>
      <selection pane="bottomLeft" activeCell="P13" sqref="P13"/>
    </sheetView>
  </sheetViews>
  <sheetFormatPr defaultColWidth="8.6328125" defaultRowHeight="14.5" x14ac:dyDescent="0.35"/>
  <cols>
    <col min="1" max="1" width="10" customWidth="1"/>
    <col min="2" max="2" width="14" customWidth="1"/>
    <col min="3" max="3" width="18" customWidth="1"/>
    <col min="4" max="4" width="28" customWidth="1"/>
    <col min="5" max="5" width="40" customWidth="1"/>
    <col min="6" max="6" width="22" customWidth="1"/>
    <col min="7" max="7" width="18" customWidth="1"/>
    <col min="8" max="10" width="14" customWidth="1"/>
    <col min="11" max="13" width="12" customWidth="1"/>
    <col min="14" max="15" width="14" customWidth="1"/>
    <col min="16" max="16" width="18" customWidth="1"/>
    <col min="17" max="17" width="10" customWidth="1"/>
    <col min="18" max="18" width="12" customWidth="1"/>
    <col min="19" max="19" width="22" customWidth="1"/>
    <col min="20" max="20" width="14" customWidth="1"/>
    <col min="21" max="21" width="12" customWidth="1"/>
    <col min="22" max="22" width="34" customWidth="1"/>
  </cols>
  <sheetData>
    <row r="1" spans="1:22" ht="36" customHeight="1" x14ac:dyDescent="0.35">
      <c r="A1" s="14" t="s">
        <v>59</v>
      </c>
      <c r="B1" s="14"/>
      <c r="C1" s="14"/>
      <c r="D1" s="14"/>
      <c r="E1" s="14"/>
      <c r="F1" s="14"/>
      <c r="G1" s="14"/>
      <c r="H1" s="14"/>
      <c r="I1" s="14"/>
      <c r="J1" s="14"/>
      <c r="K1" s="14"/>
      <c r="L1" s="14"/>
      <c r="M1" s="14"/>
      <c r="N1" s="14"/>
      <c r="O1" s="14"/>
      <c r="P1" s="14"/>
      <c r="Q1" s="14"/>
      <c r="R1" s="14"/>
      <c r="S1" s="14"/>
      <c r="T1" s="14"/>
      <c r="U1" s="14"/>
      <c r="V1" s="14"/>
    </row>
    <row r="2" spans="1:22" ht="21.75" customHeight="1" x14ac:dyDescent="0.35">
      <c r="A2" s="13" t="s">
        <v>60</v>
      </c>
      <c r="B2" s="13"/>
      <c r="C2" s="13"/>
      <c r="D2" s="13"/>
      <c r="E2" s="13"/>
      <c r="F2" s="13"/>
      <c r="G2" s="13"/>
      <c r="H2" s="13"/>
      <c r="I2" s="13"/>
      <c r="J2" s="13"/>
      <c r="K2" s="13"/>
      <c r="L2" s="13"/>
      <c r="M2" s="13"/>
      <c r="N2" s="13"/>
      <c r="O2" s="13"/>
      <c r="P2" s="13"/>
      <c r="Q2" s="13"/>
      <c r="R2" s="13"/>
      <c r="S2" s="13"/>
      <c r="T2" s="13"/>
      <c r="U2" s="13"/>
      <c r="V2" s="13"/>
    </row>
    <row r="3" spans="1:22" ht="55.5" customHeight="1" x14ac:dyDescent="0.35">
      <c r="A3" s="36" t="s">
        <v>61</v>
      </c>
      <c r="B3" s="36" t="s">
        <v>62</v>
      </c>
      <c r="C3" s="36" t="s">
        <v>63</v>
      </c>
      <c r="D3" s="36" t="s">
        <v>64</v>
      </c>
      <c r="E3" s="36" t="s">
        <v>65</v>
      </c>
      <c r="F3" s="36" t="s">
        <v>66</v>
      </c>
      <c r="G3" s="36" t="s">
        <v>67</v>
      </c>
      <c r="H3" s="36" t="s">
        <v>68</v>
      </c>
      <c r="I3" s="36" t="s">
        <v>69</v>
      </c>
      <c r="J3" s="36" t="s">
        <v>70</v>
      </c>
      <c r="K3" s="36" t="s">
        <v>71</v>
      </c>
      <c r="L3" s="36" t="s">
        <v>72</v>
      </c>
      <c r="M3" s="36" t="s">
        <v>73</v>
      </c>
      <c r="N3" s="36" t="s">
        <v>74</v>
      </c>
      <c r="O3" s="36" t="s">
        <v>75</v>
      </c>
      <c r="P3" s="36" t="s">
        <v>76</v>
      </c>
      <c r="Q3" s="36" t="s">
        <v>77</v>
      </c>
      <c r="R3" s="36" t="s">
        <v>78</v>
      </c>
      <c r="S3" s="36" t="s">
        <v>79</v>
      </c>
      <c r="T3" s="36" t="s">
        <v>80</v>
      </c>
      <c r="U3" s="36" t="s">
        <v>81</v>
      </c>
      <c r="V3" s="36" t="s">
        <v>82</v>
      </c>
    </row>
    <row r="4" spans="1:22" ht="63.75" customHeight="1" x14ac:dyDescent="0.35">
      <c r="A4" s="37" t="s">
        <v>83</v>
      </c>
      <c r="B4" s="37" t="s">
        <v>84</v>
      </c>
      <c r="C4" s="37" t="s">
        <v>85</v>
      </c>
      <c r="D4" s="37" t="s">
        <v>86</v>
      </c>
      <c r="E4" s="37" t="s">
        <v>87</v>
      </c>
      <c r="F4" s="37" t="s">
        <v>88</v>
      </c>
      <c r="G4" s="37" t="s">
        <v>89</v>
      </c>
      <c r="H4" s="37" t="s">
        <v>90</v>
      </c>
      <c r="I4" s="37" t="s">
        <v>91</v>
      </c>
      <c r="J4" s="37" t="s">
        <v>92</v>
      </c>
      <c r="K4" s="37" t="s">
        <v>93</v>
      </c>
      <c r="L4" s="37" t="s">
        <v>94</v>
      </c>
      <c r="M4" s="37" t="s">
        <v>95</v>
      </c>
      <c r="N4" s="37" t="s">
        <v>96</v>
      </c>
      <c r="O4" s="37" t="s">
        <v>97</v>
      </c>
      <c r="P4" s="37" t="s">
        <v>98</v>
      </c>
      <c r="Q4" s="37" t="s">
        <v>99</v>
      </c>
      <c r="R4" s="37" t="s">
        <v>100</v>
      </c>
      <c r="S4" s="37" t="s">
        <v>101</v>
      </c>
      <c r="T4" s="37" t="s">
        <v>102</v>
      </c>
      <c r="U4" s="37" t="s">
        <v>100</v>
      </c>
      <c r="V4" s="37" t="s">
        <v>103</v>
      </c>
    </row>
    <row r="5" spans="1:22" ht="39.75" customHeight="1" x14ac:dyDescent="0.35">
      <c r="A5" s="38" t="s">
        <v>104</v>
      </c>
      <c r="B5" s="39" t="s">
        <v>105</v>
      </c>
      <c r="C5" s="39" t="s">
        <v>45</v>
      </c>
      <c r="D5" s="39" t="s">
        <v>106</v>
      </c>
      <c r="E5" s="39" t="s">
        <v>107</v>
      </c>
      <c r="F5" s="39" t="s">
        <v>108</v>
      </c>
      <c r="G5" s="39" t="s">
        <v>109</v>
      </c>
      <c r="H5" s="39"/>
      <c r="I5" s="39"/>
      <c r="J5" s="39"/>
      <c r="K5" s="40" t="str">
        <f>IF(AND(ISNUMBER(H5),ISNUMBER(J5)),J5-H5,"—")</f>
        <v>—</v>
      </c>
      <c r="L5" s="41" t="str">
        <f t="shared" ref="L5:L13" si="0">IF(K5="","—",IF(K5&lt;0,"⬆ Early",IF(K5=0,"● On Time","⬇ Late")))</f>
        <v>⬇ Late</v>
      </c>
      <c r="M5" s="39">
        <v>10</v>
      </c>
      <c r="N5" s="41" t="str">
        <f t="shared" ref="N5" si="1">IF(AND(ISNUMBER(J5),ISNUMBER(M5)),J5+M5,"—")</f>
        <v>—</v>
      </c>
      <c r="O5" s="39"/>
      <c r="P5" s="39" t="s">
        <v>19</v>
      </c>
      <c r="Q5" s="39">
        <v>0</v>
      </c>
      <c r="R5" s="39" t="s">
        <v>110</v>
      </c>
      <c r="S5" s="39" t="s">
        <v>111</v>
      </c>
      <c r="T5" s="39"/>
      <c r="U5" s="39" t="s">
        <v>110</v>
      </c>
      <c r="V5" s="39"/>
    </row>
    <row r="6" spans="1:22" ht="48" customHeight="1" x14ac:dyDescent="0.35">
      <c r="A6" s="16" t="s">
        <v>112</v>
      </c>
      <c r="B6" s="16" t="s">
        <v>113</v>
      </c>
      <c r="C6" s="16" t="s">
        <v>57</v>
      </c>
      <c r="D6" s="16" t="s">
        <v>114</v>
      </c>
      <c r="E6" s="16" t="s">
        <v>115</v>
      </c>
      <c r="F6" s="16" t="s">
        <v>116</v>
      </c>
      <c r="G6" s="16" t="s">
        <v>117</v>
      </c>
      <c r="H6" s="50">
        <v>46143</v>
      </c>
      <c r="I6" s="50">
        <v>46136</v>
      </c>
      <c r="J6" s="50">
        <v>46140</v>
      </c>
      <c r="K6" s="42">
        <f>IF(AND($H6&lt;&gt;"",$J6&lt;&gt;""),$J6-$H6,"—")</f>
        <v>-3</v>
      </c>
      <c r="L6" s="43" t="str">
        <f>IF($K6="—","—",IF($K6&lt;0,"⬆ Early",IF($K6=0,"● On Time","⬇ Late")))</f>
        <v>⬆ Early</v>
      </c>
      <c r="M6" s="16">
        <v>10</v>
      </c>
      <c r="N6" s="49">
        <f>IF(AND($J6&lt;&gt;"",$M6&lt;&gt;""),$J6+$M6,"—")</f>
        <v>46150</v>
      </c>
      <c r="O6" s="50">
        <v>46154</v>
      </c>
      <c r="P6" s="16" t="s">
        <v>31</v>
      </c>
      <c r="Q6" s="16">
        <v>0</v>
      </c>
      <c r="R6" s="16" t="s">
        <v>110</v>
      </c>
      <c r="S6" s="16" t="s">
        <v>118</v>
      </c>
      <c r="T6" s="16" t="s">
        <v>119</v>
      </c>
      <c r="U6" s="16" t="s">
        <v>110</v>
      </c>
      <c r="V6" s="16" t="s">
        <v>120</v>
      </c>
    </row>
    <row r="7" spans="1:22" ht="48" customHeight="1" x14ac:dyDescent="0.35">
      <c r="A7" s="18" t="s">
        <v>121</v>
      </c>
      <c r="B7" s="18" t="s">
        <v>113</v>
      </c>
      <c r="C7" s="18" t="s">
        <v>47</v>
      </c>
      <c r="D7" s="18" t="s">
        <v>122</v>
      </c>
      <c r="E7" s="18" t="s">
        <v>123</v>
      </c>
      <c r="F7" s="18" t="s">
        <v>116</v>
      </c>
      <c r="G7" s="18" t="s">
        <v>117</v>
      </c>
      <c r="H7" s="51">
        <v>46152</v>
      </c>
      <c r="I7" s="51">
        <v>46149</v>
      </c>
      <c r="J7" s="51">
        <v>46151</v>
      </c>
      <c r="K7" s="42">
        <f t="shared" ref="K7:K13" si="2">IF(AND($H7&lt;&gt;"",$J7&lt;&gt;""),$J7-$H7,"—")</f>
        <v>-1</v>
      </c>
      <c r="L7" s="43" t="str">
        <f t="shared" ref="L7:L13" si="3">IF($K7="—","—",IF($K7&lt;0,"⬆ Early",IF($K7=0,"● On Time","⬇ Late")))</f>
        <v>⬆ Early</v>
      </c>
      <c r="M7" s="18">
        <v>5</v>
      </c>
      <c r="N7" s="49">
        <f t="shared" ref="N7:N13" si="4">IF(AND($J7&lt;&gt;"",$M7&lt;&gt;""),$J7+$M7,"—")</f>
        <v>46156</v>
      </c>
      <c r="O7" s="51">
        <v>46157</v>
      </c>
      <c r="P7" s="18" t="s">
        <v>31</v>
      </c>
      <c r="Q7" s="18">
        <v>0</v>
      </c>
      <c r="R7" s="18" t="s">
        <v>110</v>
      </c>
      <c r="S7" s="18" t="s">
        <v>124</v>
      </c>
      <c r="T7" s="18"/>
      <c r="U7" s="18" t="s">
        <v>110</v>
      </c>
      <c r="V7" s="18" t="s">
        <v>125</v>
      </c>
    </row>
    <row r="8" spans="1:22" ht="48" customHeight="1" x14ac:dyDescent="0.35">
      <c r="A8" s="16" t="s">
        <v>126</v>
      </c>
      <c r="B8" s="16" t="s">
        <v>127</v>
      </c>
      <c r="C8" s="16" t="s">
        <v>49</v>
      </c>
      <c r="D8" s="16" t="s">
        <v>128</v>
      </c>
      <c r="E8" s="16" t="s">
        <v>129</v>
      </c>
      <c r="F8" s="16" t="s">
        <v>130</v>
      </c>
      <c r="G8" s="16" t="s">
        <v>131</v>
      </c>
      <c r="H8" s="50">
        <v>46174</v>
      </c>
      <c r="I8" s="50">
        <v>46165</v>
      </c>
      <c r="J8" s="50">
        <v>46177</v>
      </c>
      <c r="K8" s="42">
        <f t="shared" si="2"/>
        <v>3</v>
      </c>
      <c r="L8" s="43" t="str">
        <f t="shared" si="3"/>
        <v>⬇ Late</v>
      </c>
      <c r="M8" s="16">
        <v>10</v>
      </c>
      <c r="N8" s="49">
        <f t="shared" si="4"/>
        <v>46187</v>
      </c>
      <c r="O8" s="50"/>
      <c r="P8" s="16" t="s">
        <v>28</v>
      </c>
      <c r="Q8" s="16">
        <v>0</v>
      </c>
      <c r="R8" s="16" t="s">
        <v>110</v>
      </c>
      <c r="S8" s="16" t="s">
        <v>133</v>
      </c>
      <c r="T8" s="16" t="s">
        <v>119</v>
      </c>
      <c r="U8" s="16" t="s">
        <v>110</v>
      </c>
      <c r="V8" s="16" t="s">
        <v>134</v>
      </c>
    </row>
    <row r="9" spans="1:22" ht="48" customHeight="1" x14ac:dyDescent="0.35">
      <c r="A9" s="18" t="s">
        <v>135</v>
      </c>
      <c r="B9" s="18" t="s">
        <v>136</v>
      </c>
      <c r="C9" s="18" t="s">
        <v>51</v>
      </c>
      <c r="D9" s="18" t="s">
        <v>137</v>
      </c>
      <c r="E9" s="18" t="s">
        <v>138</v>
      </c>
      <c r="F9" s="18" t="s">
        <v>139</v>
      </c>
      <c r="G9" s="18" t="s">
        <v>140</v>
      </c>
      <c r="H9" s="51">
        <v>46218</v>
      </c>
      <c r="I9" s="51">
        <v>46211</v>
      </c>
      <c r="J9" s="51"/>
      <c r="K9" s="42" t="str">
        <f t="shared" si="2"/>
        <v>—</v>
      </c>
      <c r="L9" s="43" t="str">
        <f t="shared" si="3"/>
        <v>—</v>
      </c>
      <c r="M9" s="18">
        <v>10</v>
      </c>
      <c r="N9" s="49" t="str">
        <f t="shared" si="4"/>
        <v>—</v>
      </c>
      <c r="O9" s="51"/>
      <c r="P9" s="18" t="s">
        <v>22</v>
      </c>
      <c r="Q9" s="18">
        <v>0</v>
      </c>
      <c r="R9" s="18" t="s">
        <v>110</v>
      </c>
      <c r="S9" s="18" t="s">
        <v>143</v>
      </c>
      <c r="T9" s="18" t="s">
        <v>144</v>
      </c>
      <c r="U9" s="18" t="s">
        <v>110</v>
      </c>
      <c r="V9" s="18" t="s">
        <v>145</v>
      </c>
    </row>
    <row r="10" spans="1:22" ht="48" customHeight="1" x14ac:dyDescent="0.35">
      <c r="A10" s="16" t="s">
        <v>146</v>
      </c>
      <c r="B10" s="16" t="s">
        <v>113</v>
      </c>
      <c r="C10" s="16" t="s">
        <v>47</v>
      </c>
      <c r="D10" s="16" t="s">
        <v>147</v>
      </c>
      <c r="E10" s="16" t="s">
        <v>148</v>
      </c>
      <c r="F10" s="16" t="s">
        <v>116</v>
      </c>
      <c r="G10" s="16" t="s">
        <v>117</v>
      </c>
      <c r="H10" s="50">
        <v>46183</v>
      </c>
      <c r="I10" s="50">
        <v>46178</v>
      </c>
      <c r="J10" s="50">
        <v>46183</v>
      </c>
      <c r="K10" s="42">
        <f t="shared" si="2"/>
        <v>0</v>
      </c>
      <c r="L10" s="43" t="str">
        <f t="shared" si="3"/>
        <v>● On Time</v>
      </c>
      <c r="M10" s="16">
        <v>5</v>
      </c>
      <c r="N10" s="49">
        <f t="shared" si="4"/>
        <v>46188</v>
      </c>
      <c r="O10" s="50"/>
      <c r="P10" s="16" t="s">
        <v>28</v>
      </c>
      <c r="Q10" s="16">
        <v>0</v>
      </c>
      <c r="R10" s="16" t="s">
        <v>110</v>
      </c>
      <c r="S10" s="16" t="s">
        <v>149</v>
      </c>
      <c r="T10" s="16"/>
      <c r="U10" s="16" t="s">
        <v>110</v>
      </c>
      <c r="V10" s="16" t="s">
        <v>150</v>
      </c>
    </row>
    <row r="11" spans="1:22" ht="48" customHeight="1" x14ac:dyDescent="0.35">
      <c r="A11" s="18" t="s">
        <v>151</v>
      </c>
      <c r="B11" s="18" t="s">
        <v>127</v>
      </c>
      <c r="C11" s="18" t="s">
        <v>49</v>
      </c>
      <c r="D11" s="18" t="s">
        <v>152</v>
      </c>
      <c r="E11" s="18" t="s">
        <v>153</v>
      </c>
      <c r="F11" s="18" t="s">
        <v>154</v>
      </c>
      <c r="G11" s="18" t="s">
        <v>155</v>
      </c>
      <c r="H11" s="51">
        <v>46204</v>
      </c>
      <c r="I11" s="51">
        <v>46197</v>
      </c>
      <c r="J11" s="51"/>
      <c r="K11" s="42" t="str">
        <f t="shared" si="2"/>
        <v>—</v>
      </c>
      <c r="L11" s="43" t="str">
        <f t="shared" si="3"/>
        <v>—</v>
      </c>
      <c r="M11" s="18">
        <v>15</v>
      </c>
      <c r="N11" s="49" t="str">
        <f t="shared" si="4"/>
        <v>—</v>
      </c>
      <c r="O11" s="51"/>
      <c r="P11" s="18" t="s">
        <v>25</v>
      </c>
      <c r="Q11" s="18">
        <v>0</v>
      </c>
      <c r="R11" s="18" t="s">
        <v>110</v>
      </c>
      <c r="S11" s="18" t="s">
        <v>158</v>
      </c>
      <c r="T11" s="18" t="s">
        <v>159</v>
      </c>
      <c r="U11" s="18" t="s">
        <v>110</v>
      </c>
      <c r="V11" s="18" t="s">
        <v>160</v>
      </c>
    </row>
    <row r="12" spans="1:22" ht="48" customHeight="1" x14ac:dyDescent="0.35">
      <c r="A12" s="16" t="s">
        <v>161</v>
      </c>
      <c r="B12" s="16" t="s">
        <v>162</v>
      </c>
      <c r="C12" s="16" t="s">
        <v>53</v>
      </c>
      <c r="D12" s="16" t="s">
        <v>163</v>
      </c>
      <c r="E12" s="16" t="s">
        <v>164</v>
      </c>
      <c r="F12" s="16" t="s">
        <v>165</v>
      </c>
      <c r="G12" s="16" t="s">
        <v>166</v>
      </c>
      <c r="H12" s="50">
        <v>46280</v>
      </c>
      <c r="I12" s="50">
        <v>46270</v>
      </c>
      <c r="J12" s="50"/>
      <c r="K12" s="42" t="str">
        <f t="shared" si="2"/>
        <v>—</v>
      </c>
      <c r="L12" s="43" t="str">
        <f t="shared" si="3"/>
        <v>—</v>
      </c>
      <c r="M12" s="16">
        <v>10</v>
      </c>
      <c r="N12" s="49" t="str">
        <f t="shared" si="4"/>
        <v>—</v>
      </c>
      <c r="O12" s="50"/>
      <c r="P12" s="16" t="s">
        <v>19</v>
      </c>
      <c r="Q12" s="16">
        <v>0</v>
      </c>
      <c r="R12" s="16" t="s">
        <v>110</v>
      </c>
      <c r="S12" s="16"/>
      <c r="T12" s="16"/>
      <c r="U12" s="16" t="s">
        <v>110</v>
      </c>
      <c r="V12" s="16" t="s">
        <v>167</v>
      </c>
    </row>
    <row r="13" spans="1:22" ht="48" customHeight="1" x14ac:dyDescent="0.35">
      <c r="A13" s="18" t="s">
        <v>168</v>
      </c>
      <c r="B13" s="18" t="s">
        <v>127</v>
      </c>
      <c r="C13" s="18" t="s">
        <v>49</v>
      </c>
      <c r="D13" s="18" t="s">
        <v>169</v>
      </c>
      <c r="E13" s="18" t="s">
        <v>170</v>
      </c>
      <c r="F13" s="18" t="s">
        <v>130</v>
      </c>
      <c r="G13" s="18" t="s">
        <v>131</v>
      </c>
      <c r="H13" s="51">
        <v>46157</v>
      </c>
      <c r="I13" s="51">
        <v>46150</v>
      </c>
      <c r="J13" s="51">
        <v>46162</v>
      </c>
      <c r="K13" s="42">
        <f t="shared" si="2"/>
        <v>5</v>
      </c>
      <c r="L13" s="43" t="str">
        <f t="shared" si="3"/>
        <v>⬇ Late</v>
      </c>
      <c r="M13" s="18">
        <v>10</v>
      </c>
      <c r="N13" s="49">
        <f t="shared" si="4"/>
        <v>46172</v>
      </c>
      <c r="O13" s="51"/>
      <c r="P13" s="18" t="s">
        <v>37</v>
      </c>
      <c r="Q13" s="18">
        <v>1</v>
      </c>
      <c r="R13" s="18" t="s">
        <v>171</v>
      </c>
      <c r="S13" s="18" t="s">
        <v>172</v>
      </c>
      <c r="T13" s="18"/>
      <c r="U13" s="18" t="s">
        <v>171</v>
      </c>
      <c r="V13" s="18" t="s">
        <v>173</v>
      </c>
    </row>
  </sheetData>
  <mergeCells count="2">
    <mergeCell ref="A1:V1"/>
    <mergeCell ref="A2:V2"/>
  </mergeCells>
  <conditionalFormatting sqref="H6:H200">
    <cfRule type="expression" dxfId="24" priority="12">
      <formula>AND(ISNUMBER(H6),H6&lt;TODAY(),J6="",NOT(OR(P6="Accepted",P6="Accepted with Comments")))</formula>
    </cfRule>
  </conditionalFormatting>
  <conditionalFormatting sqref="P6:P200">
    <cfRule type="expression" dxfId="17" priority="2">
      <formula>P6="Accepted"</formula>
    </cfRule>
    <cfRule type="expression" dxfId="16" priority="3">
      <formula>P6="Accepted with Comments"</formula>
    </cfRule>
    <cfRule type="expression" dxfId="15" priority="4">
      <formula>P6="Submitted"</formula>
    </cfRule>
    <cfRule type="expression" dxfId="14" priority="5">
      <formula>P6="Internal Review"</formula>
    </cfRule>
    <cfRule type="expression" dxfId="13" priority="6">
      <formula>P6="Draft In Progress"</formula>
    </cfRule>
    <cfRule type="expression" dxfId="12" priority="7">
      <formula>P6="Revision Required"</formula>
    </cfRule>
    <cfRule type="expression" dxfId="11" priority="8">
      <formula>P6="Overdue"</formula>
    </cfRule>
  </conditionalFormatting>
  <conditionalFormatting sqref="L6:L13">
    <cfRule type="containsText" dxfId="5" priority="16" operator="containsText" text="Early">
      <formula>NOT(ISERROR(SEARCH("Early",L6)))</formula>
    </cfRule>
  </conditionalFormatting>
  <conditionalFormatting sqref="L6:L13">
    <cfRule type="containsText" dxfId="4" priority="17" operator="containsText" text="On Time">
      <formula>NOT(ISERROR(SEARCH("On Time",L6)))</formula>
    </cfRule>
  </conditionalFormatting>
  <conditionalFormatting sqref="L6:L13">
    <cfRule type="containsText" dxfId="3" priority="18" operator="containsText" text="Late">
      <formula>NOT(ISERROR(SEARCH("Late",L6)))</formula>
    </cfRule>
  </conditionalFormatting>
  <conditionalFormatting sqref="K6:K13">
    <cfRule type="expression" dxfId="2" priority="19">
      <formula>AND(ISNUMBER(K6),K6&lt;0)</formula>
    </cfRule>
  </conditionalFormatting>
  <conditionalFormatting sqref="K6:K13">
    <cfRule type="expression" dxfId="1" priority="20">
      <formula>AND(ISNUMBER(K6),K6=0)</formula>
    </cfRule>
  </conditionalFormatting>
  <conditionalFormatting sqref="K6:K13">
    <cfRule type="expression" dxfId="0" priority="21">
      <formula>AND(ISNUMBER(K6),K6&gt;0)</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
  <sheetViews>
    <sheetView showGridLines="0" topLeftCell="C1" zoomScaleNormal="100" workbookViewId="0">
      <pane ySplit="3" topLeftCell="A4" activePane="bottomLeft" state="frozen"/>
      <selection pane="bottomLeft" sqref="A1:L1"/>
    </sheetView>
  </sheetViews>
  <sheetFormatPr defaultColWidth="8.6328125" defaultRowHeight="14.5" x14ac:dyDescent="0.35"/>
  <cols>
    <col min="1" max="2" width="12" customWidth="1"/>
    <col min="3" max="3" width="28" customWidth="1"/>
    <col min="4" max="4" width="10" customWidth="1"/>
    <col min="5" max="5" width="14" customWidth="1"/>
    <col min="6" max="6" width="52" customWidth="1"/>
    <col min="7" max="7" width="18" customWidth="1"/>
    <col min="8" max="9" width="14" customWidth="1"/>
    <col min="10" max="10" width="12" customWidth="1"/>
    <col min="11" max="11" width="14" customWidth="1"/>
    <col min="12" max="12" width="36" customWidth="1"/>
  </cols>
  <sheetData>
    <row r="1" spans="1:12" ht="36" customHeight="1" x14ac:dyDescent="0.35">
      <c r="A1" s="14" t="s">
        <v>174</v>
      </c>
      <c r="B1" s="14"/>
      <c r="C1" s="14"/>
      <c r="D1" s="14"/>
      <c r="E1" s="14"/>
      <c r="F1" s="14"/>
      <c r="G1" s="14"/>
      <c r="H1" s="14"/>
      <c r="I1" s="14"/>
      <c r="J1" s="14"/>
      <c r="K1" s="14"/>
      <c r="L1" s="14"/>
    </row>
    <row r="2" spans="1:12" ht="21.75" customHeight="1" x14ac:dyDescent="0.35">
      <c r="A2" s="13" t="s">
        <v>175</v>
      </c>
      <c r="B2" s="13"/>
      <c r="C2" s="13"/>
      <c r="D2" s="13"/>
      <c r="E2" s="13"/>
      <c r="F2" s="13"/>
      <c r="G2" s="13"/>
      <c r="H2" s="13"/>
      <c r="I2" s="13"/>
      <c r="J2" s="13"/>
      <c r="K2" s="13"/>
      <c r="L2" s="13"/>
    </row>
    <row r="3" spans="1:12" ht="51.75" customHeight="1" x14ac:dyDescent="0.35">
      <c r="A3" s="36" t="s">
        <v>176</v>
      </c>
      <c r="B3" s="36" t="s">
        <v>61</v>
      </c>
      <c r="C3" s="36" t="s">
        <v>64</v>
      </c>
      <c r="D3" s="36" t="s">
        <v>77</v>
      </c>
      <c r="E3" s="36" t="s">
        <v>177</v>
      </c>
      <c r="F3" s="36" t="s">
        <v>178</v>
      </c>
      <c r="G3" s="36" t="s">
        <v>179</v>
      </c>
      <c r="H3" s="36" t="s">
        <v>180</v>
      </c>
      <c r="I3" s="36" t="s">
        <v>181</v>
      </c>
      <c r="J3" s="36" t="s">
        <v>182</v>
      </c>
      <c r="K3" s="36" t="s">
        <v>183</v>
      </c>
      <c r="L3" s="36" t="s">
        <v>82</v>
      </c>
    </row>
    <row r="4" spans="1:12" ht="51.75" customHeight="1" x14ac:dyDescent="0.35">
      <c r="A4" s="16" t="s">
        <v>184</v>
      </c>
      <c r="B4" s="16" t="s">
        <v>168</v>
      </c>
      <c r="C4" s="16" t="s">
        <v>169</v>
      </c>
      <c r="D4" s="16">
        <v>1</v>
      </c>
      <c r="E4" s="16" t="s">
        <v>132</v>
      </c>
      <c r="F4" s="16" t="s">
        <v>185</v>
      </c>
      <c r="G4" s="16" t="s">
        <v>131</v>
      </c>
      <c r="H4" s="16" t="s">
        <v>186</v>
      </c>
      <c r="I4" s="16"/>
      <c r="J4" s="42" t="str">
        <f ca="1">IF(AND(ISNUMBER(E4),ISNUMBER(I4)),I4-E4,IF(ISNUMBER(E4),TODAY()-E4,"—"))</f>
        <v>—</v>
      </c>
      <c r="K4" s="16" t="s">
        <v>187</v>
      </c>
      <c r="L4" s="16" t="s">
        <v>188</v>
      </c>
    </row>
    <row r="5" spans="1:12" ht="36" customHeight="1" x14ac:dyDescent="0.35">
      <c r="A5" s="39" t="s">
        <v>189</v>
      </c>
      <c r="B5" s="39" t="s">
        <v>190</v>
      </c>
      <c r="C5" s="39" t="s">
        <v>106</v>
      </c>
      <c r="D5" s="39">
        <v>1</v>
      </c>
      <c r="E5" s="39"/>
      <c r="F5" s="39" t="s">
        <v>191</v>
      </c>
      <c r="G5" s="39" t="s">
        <v>192</v>
      </c>
      <c r="H5" s="39"/>
      <c r="I5" s="39"/>
      <c r="J5" s="41" t="str">
        <f ca="1">IF(AND(ISNUMBER(E5),ISNUMBER(I5)),I5-E5,IF(ISNUMBER(E5),TODAY()-E5,"—"))</f>
        <v>—</v>
      </c>
      <c r="K5" s="39" t="s">
        <v>187</v>
      </c>
      <c r="L5" s="39"/>
    </row>
  </sheetData>
  <mergeCells count="2">
    <mergeCell ref="A1:L1"/>
    <mergeCell ref="A2:L2"/>
  </mergeCells>
  <conditionalFormatting sqref="K4:K200">
    <cfRule type="expression" dxfId="10" priority="2">
      <formula>K4="Accepted"</formula>
    </cfRule>
    <cfRule type="expression" dxfId="9" priority="3">
      <formula>K4="Pending"</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3"/>
  <sheetViews>
    <sheetView showGridLines="0" zoomScaleNormal="100" workbookViewId="0"/>
  </sheetViews>
  <sheetFormatPr defaultColWidth="8.6328125" defaultRowHeight="14.5" x14ac:dyDescent="0.35"/>
  <cols>
    <col min="1" max="1" width="16" customWidth="1"/>
    <col min="2" max="2" width="34" customWidth="1"/>
    <col min="3" max="3" width="22" customWidth="1"/>
    <col min="4" max="4" width="20" customWidth="1"/>
    <col min="5" max="5" width="12" customWidth="1"/>
    <col min="6" max="6" width="18" customWidth="1"/>
  </cols>
  <sheetData>
    <row r="1" spans="1:6" ht="36" customHeight="1" x14ac:dyDescent="0.35">
      <c r="A1" s="14" t="s">
        <v>193</v>
      </c>
      <c r="B1" s="14"/>
      <c r="C1" s="14"/>
      <c r="D1" s="14"/>
      <c r="E1" s="14"/>
      <c r="F1" s="14"/>
    </row>
    <row r="2" spans="1:6" ht="21.75" customHeight="1" x14ac:dyDescent="0.35">
      <c r="A2" s="13" t="s">
        <v>194</v>
      </c>
      <c r="B2" s="13"/>
      <c r="C2" s="13"/>
      <c r="D2" s="13"/>
      <c r="E2" s="13"/>
      <c r="F2" s="13"/>
    </row>
    <row r="4" spans="1:6" ht="24" customHeight="1" x14ac:dyDescent="0.35">
      <c r="A4" s="7" t="s">
        <v>195</v>
      </c>
      <c r="B4" s="7"/>
      <c r="C4" s="7"/>
      <c r="D4" s="7"/>
      <c r="E4" s="7"/>
      <c r="F4" s="7"/>
    </row>
    <row r="5" spans="1:6" ht="27.75" customHeight="1" x14ac:dyDescent="0.35">
      <c r="A5" s="36" t="s">
        <v>196</v>
      </c>
      <c r="B5" s="36" t="s">
        <v>197</v>
      </c>
      <c r="C5" s="36"/>
      <c r="D5" s="36"/>
      <c r="E5" s="36"/>
      <c r="F5" s="36"/>
    </row>
    <row r="6" spans="1:6" ht="21.75" customHeight="1" x14ac:dyDescent="0.35">
      <c r="A6" s="15" t="s">
        <v>198</v>
      </c>
      <c r="B6" s="6">
        <f>COUNTA('Deliverable Register'!A6:A200)</f>
        <v>8</v>
      </c>
      <c r="C6" s="6"/>
      <c r="D6" s="6"/>
      <c r="E6" s="6"/>
      <c r="F6" s="6"/>
    </row>
    <row r="7" spans="1:6" ht="21.75" customHeight="1" x14ac:dyDescent="0.35">
      <c r="A7" s="17" t="s">
        <v>199</v>
      </c>
      <c r="B7" s="5">
        <f>COUNTIFS('Deliverable Register'!P6:P200,"Accepted")+COUNTIFS('Deliverable Register'!P6:P200,"Accepted with Comments")+COUNTIFS('Deliverable Register'!P6:P200,"Submitted")+COUNTIFS('Deliverable Register'!P6:P200,"Revision Required")</f>
        <v>5</v>
      </c>
      <c r="C7" s="5"/>
      <c r="D7" s="5"/>
      <c r="E7" s="5"/>
      <c r="F7" s="5"/>
    </row>
    <row r="8" spans="1:6" ht="21.75" customHeight="1" x14ac:dyDescent="0.35">
      <c r="A8" s="15" t="s">
        <v>200</v>
      </c>
      <c r="B8" s="6">
        <f>COUNTIF('Deliverable Register'!P6:P200,"Accepted")</f>
        <v>2</v>
      </c>
      <c r="C8" s="6"/>
      <c r="D8" s="6"/>
      <c r="E8" s="6"/>
      <c r="F8" s="6"/>
    </row>
    <row r="9" spans="1:6" ht="21.75" customHeight="1" x14ac:dyDescent="0.35">
      <c r="A9" s="17" t="s">
        <v>201</v>
      </c>
      <c r="B9" s="5">
        <f>COUNTIF('Deliverable Register'!L6:L200,"⬆ Early")</f>
        <v>2</v>
      </c>
      <c r="C9" s="5"/>
      <c r="D9" s="5"/>
      <c r="E9" s="5"/>
      <c r="F9" s="5"/>
    </row>
    <row r="10" spans="1:6" ht="21.75" customHeight="1" x14ac:dyDescent="0.35">
      <c r="A10" s="15" t="s">
        <v>202</v>
      </c>
      <c r="B10" s="6">
        <f>COUNTIF('Deliverable Register'!L6:L200,"● On Time")</f>
        <v>1</v>
      </c>
      <c r="C10" s="6"/>
      <c r="D10" s="6"/>
      <c r="E10" s="6"/>
      <c r="F10" s="6"/>
    </row>
    <row r="11" spans="1:6" ht="21.75" customHeight="1" x14ac:dyDescent="0.35">
      <c r="A11" s="17" t="s">
        <v>203</v>
      </c>
      <c r="B11" s="5">
        <f>COUNTIF('Deliverable Register'!L6:L200,"⬇ Late")</f>
        <v>2</v>
      </c>
      <c r="C11" s="5"/>
      <c r="D11" s="5"/>
      <c r="E11" s="5"/>
      <c r="F11" s="5"/>
    </row>
    <row r="12" spans="1:6" ht="21.75" customHeight="1" x14ac:dyDescent="0.35">
      <c r="A12" s="44" t="s">
        <v>204</v>
      </c>
      <c r="B12" s="4">
        <f>COUNTIF('Deliverable Register'!P6:P200,"Revision Required")</f>
        <v>1</v>
      </c>
      <c r="C12" s="4"/>
      <c r="D12" s="4"/>
      <c r="E12" s="4"/>
      <c r="F12" s="4"/>
    </row>
    <row r="13" spans="1:6" ht="21.75" customHeight="1" x14ac:dyDescent="0.35">
      <c r="A13" s="45" t="s">
        <v>205</v>
      </c>
      <c r="B13" s="3">
        <f>COUNTIF('Deliverable Register'!P6:P200,"Overdue")</f>
        <v>0</v>
      </c>
      <c r="C13" s="3"/>
      <c r="D13" s="3"/>
      <c r="E13" s="3"/>
      <c r="F13" s="3"/>
    </row>
    <row r="14" spans="1:6" ht="21.75" customHeight="1" x14ac:dyDescent="0.35">
      <c r="A14" s="46" t="s">
        <v>206</v>
      </c>
      <c r="B14" s="2">
        <f>IFERROR((COUNTIF('Deliverable Register'!L6:L200,"⬆ Early")+COUNTIF('Deliverable Register'!L6:L200,"● On Time"))/(COUNTIF('Deliverable Register'!L6:L200,"⬆ Early")+COUNTIF('Deliverable Register'!L6:L200,"● On Time")+COUNTIF('Deliverable Register'!L6:L200,"⬇ Late")),0)</f>
        <v>0.6</v>
      </c>
      <c r="C14" s="2"/>
      <c r="D14" s="2"/>
      <c r="E14" s="2"/>
      <c r="F14" s="2"/>
    </row>
    <row r="16" spans="1:6" ht="24" customHeight="1" x14ac:dyDescent="0.35">
      <c r="A16" s="7" t="s">
        <v>207</v>
      </c>
      <c r="B16" s="7"/>
      <c r="C16" s="7"/>
      <c r="D16" s="7"/>
      <c r="E16" s="7"/>
      <c r="F16" s="7"/>
    </row>
    <row r="17" spans="1:6" ht="27.75" customHeight="1" x14ac:dyDescent="0.35">
      <c r="A17" s="36" t="s">
        <v>208</v>
      </c>
      <c r="B17" s="36" t="s">
        <v>209</v>
      </c>
      <c r="C17" s="36" t="s">
        <v>210</v>
      </c>
      <c r="D17" s="36" t="s">
        <v>211</v>
      </c>
      <c r="E17" s="36" t="s">
        <v>212</v>
      </c>
      <c r="F17" s="36" t="s">
        <v>213</v>
      </c>
    </row>
    <row r="18" spans="1:6" ht="24" customHeight="1" x14ac:dyDescent="0.35">
      <c r="A18" s="47" t="s">
        <v>135</v>
      </c>
      <c r="B18" s="47" t="s">
        <v>137</v>
      </c>
      <c r="C18" s="47" t="s">
        <v>139</v>
      </c>
      <c r="D18" s="47" t="s">
        <v>141</v>
      </c>
      <c r="E18" s="47" t="s">
        <v>142</v>
      </c>
      <c r="F18" s="47" t="s">
        <v>22</v>
      </c>
    </row>
    <row r="19" spans="1:6" ht="24" customHeight="1" x14ac:dyDescent="0.35">
      <c r="A19" s="16" t="s">
        <v>151</v>
      </c>
      <c r="B19" s="16" t="s">
        <v>152</v>
      </c>
      <c r="C19" s="16" t="s">
        <v>154</v>
      </c>
      <c r="D19" s="16" t="s">
        <v>156</v>
      </c>
      <c r="E19" s="16" t="s">
        <v>157</v>
      </c>
      <c r="F19" s="16" t="s">
        <v>25</v>
      </c>
    </row>
    <row r="21" spans="1:6" ht="24" customHeight="1" x14ac:dyDescent="0.35">
      <c r="A21" s="1" t="s">
        <v>214</v>
      </c>
      <c r="B21" s="1"/>
      <c r="C21" s="1"/>
      <c r="D21" s="1"/>
      <c r="E21" s="1"/>
      <c r="F21" s="1"/>
    </row>
    <row r="22" spans="1:6" ht="27.75" customHeight="1" x14ac:dyDescent="0.35">
      <c r="A22" s="36" t="s">
        <v>208</v>
      </c>
      <c r="B22" s="36" t="s">
        <v>209</v>
      </c>
      <c r="C22" s="36" t="s">
        <v>215</v>
      </c>
      <c r="D22" s="36" t="s">
        <v>216</v>
      </c>
      <c r="E22" s="36" t="s">
        <v>217</v>
      </c>
      <c r="F22" s="36" t="s">
        <v>218</v>
      </c>
    </row>
    <row r="23" spans="1:6" ht="27.75" customHeight="1" x14ac:dyDescent="0.35">
      <c r="A23" s="32" t="s">
        <v>168</v>
      </c>
      <c r="B23" s="32" t="s">
        <v>169</v>
      </c>
      <c r="C23" s="32" t="s">
        <v>132</v>
      </c>
      <c r="D23" s="32" t="s">
        <v>186</v>
      </c>
      <c r="E23" s="48" t="str">
        <f ca="1">IF(ISNUMBER(C23),TODAY()-C23,"—")</f>
        <v>—</v>
      </c>
      <c r="F23" s="32" t="s">
        <v>187</v>
      </c>
    </row>
  </sheetData>
  <mergeCells count="14">
    <mergeCell ref="B13:F13"/>
    <mergeCell ref="B14:F14"/>
    <mergeCell ref="A16:F16"/>
    <mergeCell ref="A21:F21"/>
    <mergeCell ref="B8:F8"/>
    <mergeCell ref="B9:F9"/>
    <mergeCell ref="B10:F10"/>
    <mergeCell ref="B11:F11"/>
    <mergeCell ref="B12:F12"/>
    <mergeCell ref="A1:F1"/>
    <mergeCell ref="A2:F2"/>
    <mergeCell ref="A4:F4"/>
    <mergeCell ref="B6:F6"/>
    <mergeCell ref="B7:F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Deliverable Register</vt:lpstr>
      <vt:lpstr>Revision Log</vt:lpstr>
      <vt:lpstr>Summary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Briana Carter</cp:lastModifiedBy>
  <cp:revision>0</cp:revision>
  <dcterms:created xsi:type="dcterms:W3CDTF">2026-06-24T02:21:04Z</dcterms:created>
  <dcterms:modified xsi:type="dcterms:W3CDTF">2026-06-24T02:36:12Z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2026-06-24T02:36:11Z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74746a74-7b2e-4c58-833a-c421aa37ba65</vt:lpwstr>
  </property>
  <property fmtid="{D5CDD505-2E9C-101B-9397-08002B2CF9AE}" pid="7" name="MSIP_Label_defa4170-0d19-0005-0004-bc88714345d2_ActionId">
    <vt:lpwstr>d43b5998-60a1-45ef-9050-1771f1f87795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