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ianaCarter\Downloads\"/>
    </mc:Choice>
  </mc:AlternateContent>
  <xr:revisionPtr revIDLastSave="0" documentId="13_ncr:1_{9C94684F-A9F9-4AD4-BC83-4B7C145818E5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Instructions" sheetId="1" r:id="rId1"/>
    <sheet name="Personnel Register" sheetId="2" r:id="rId2"/>
    <sheet name="CAC &amp; Identity" sheetId="3" r:id="rId3"/>
    <sheet name="Annual Training" sheetId="4" r:id="rId4"/>
    <sheet name="System Access" sheetId="5" r:id="rId5"/>
    <sheet name="NDA &amp; Agreements" sheetId="6" r:id="rId6"/>
    <sheet name="Compliance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7" l="1"/>
  <c r="D28" i="7"/>
  <c r="B28" i="7"/>
  <c r="F27" i="7"/>
  <c r="D27" i="7"/>
  <c r="B27" i="7"/>
  <c r="F26" i="7"/>
  <c r="D26" i="7"/>
  <c r="B26" i="7"/>
  <c r="F25" i="7"/>
  <c r="D25" i="7"/>
  <c r="C25" i="7"/>
  <c r="B25" i="7"/>
  <c r="F24" i="7"/>
  <c r="D24" i="7"/>
  <c r="B24" i="7"/>
  <c r="F23" i="7"/>
  <c r="D23" i="7"/>
  <c r="B23" i="7"/>
  <c r="B18" i="7"/>
  <c r="C18" i="7" s="1"/>
  <c r="B17" i="7"/>
  <c r="C17" i="7" s="1"/>
  <c r="C16" i="7"/>
  <c r="B16" i="7"/>
  <c r="B15" i="7"/>
  <c r="C15" i="7" s="1"/>
  <c r="B12" i="7"/>
  <c r="C12" i="7" s="1"/>
  <c r="B11" i="7"/>
  <c r="C11" i="7" s="1"/>
  <c r="B8" i="7"/>
  <c r="C8" i="7" s="1"/>
  <c r="B7" i="7"/>
  <c r="C7" i="7" s="1"/>
  <c r="B6" i="7"/>
  <c r="G15" i="6"/>
  <c r="G14" i="6"/>
  <c r="G13" i="6"/>
  <c r="G12" i="6"/>
  <c r="G11" i="6"/>
  <c r="G10" i="6"/>
  <c r="G9" i="6"/>
  <c r="G8" i="6"/>
  <c r="G7" i="6"/>
  <c r="G6" i="6"/>
  <c r="G5" i="6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D15" i="4"/>
  <c r="D14" i="4"/>
  <c r="D13" i="4"/>
  <c r="D12" i="4"/>
  <c r="D11" i="4"/>
  <c r="D10" i="4"/>
  <c r="D9" i="4"/>
  <c r="D8" i="4"/>
  <c r="D7" i="4"/>
  <c r="B14" i="7" s="1"/>
  <c r="C14" i="7" s="1"/>
  <c r="D6" i="4"/>
  <c r="E26" i="7" s="1"/>
  <c r="D5" i="4"/>
  <c r="I15" i="3"/>
  <c r="I14" i="3"/>
  <c r="I13" i="3"/>
  <c r="I12" i="3"/>
  <c r="I11" i="3"/>
  <c r="I10" i="3"/>
  <c r="I9" i="3"/>
  <c r="I8" i="3"/>
  <c r="I7" i="3"/>
  <c r="I6" i="3"/>
  <c r="I5" i="3"/>
  <c r="P15" i="2"/>
  <c r="C27" i="7" s="1"/>
  <c r="J15" i="2"/>
  <c r="P14" i="2"/>
  <c r="J14" i="2"/>
  <c r="P13" i="2"/>
  <c r="J13" i="2"/>
  <c r="P12" i="2"/>
  <c r="J12" i="2"/>
  <c r="P11" i="2"/>
  <c r="C23" i="7" s="1"/>
  <c r="J11" i="2"/>
  <c r="P10" i="2"/>
  <c r="J10" i="2"/>
  <c r="P9" i="2"/>
  <c r="C28" i="7" s="1"/>
  <c r="J9" i="2"/>
  <c r="P8" i="2"/>
  <c r="C26" i="7" s="1"/>
  <c r="J8" i="2"/>
  <c r="P7" i="2"/>
  <c r="J7" i="2"/>
  <c r="P6" i="2"/>
  <c r="C24" i="7" s="1"/>
  <c r="J6" i="2"/>
  <c r="O5" i="2"/>
  <c r="N5" i="2"/>
  <c r="M5" i="2"/>
  <c r="L5" i="2"/>
  <c r="P5" i="2" s="1"/>
  <c r="J5" i="2"/>
  <c r="A36" i="7" l="1"/>
  <c r="A35" i="7"/>
  <c r="A34" i="7"/>
  <c r="A33" i="7"/>
  <c r="A32" i="7"/>
  <c r="B10" i="7"/>
  <c r="C10" i="7" s="1"/>
  <c r="E24" i="7"/>
  <c r="E27" i="7"/>
  <c r="B19" i="7"/>
  <c r="C19" i="7" s="1"/>
  <c r="E25" i="7"/>
  <c r="B13" i="7"/>
  <c r="C13" i="7" s="1"/>
  <c r="E28" i="7"/>
  <c r="E23" i="7"/>
  <c r="B9" i="7"/>
  <c r="C9" i="7" s="1"/>
</calcChain>
</file>

<file path=xl/sharedStrings.xml><?xml version="1.0" encoding="utf-8"?>
<sst xmlns="http://schemas.openxmlformats.org/spreadsheetml/2006/main" count="1008" uniqueCount="403">
  <si>
    <t>STAFFING &amp; PERSONNEL TRACKER — INSTRUCTIONS</t>
  </si>
  <si>
    <t>v2.0 Program  •  Owner: Program Management  •  All personnel regardless of type in one list  •  Update when status changes — do not batch</t>
  </si>
  <si>
    <t>SHEET GUIDE</t>
  </si>
  <si>
    <t>SHEET / TABLE</t>
  </si>
  <si>
    <t>PURPOSE</t>
  </si>
  <si>
    <t>OWNER &amp; CADENCE</t>
  </si>
  <si>
    <t>Personnel Register
→ Table: PersonnelRegister</t>
  </si>
  <si>
    <t>Master list of all personnel on the program — FTEs, 1099s, subcontractors, and government counterparts. Tracks role, LCAT, branch, start/end dates, and overall compliance status.</t>
  </si>
  <si>
    <t>PM — update when personnel joins, departs, or changes role.</t>
  </si>
  <si>
    <t>CAC &amp; Identity
→ Table: CACRegister</t>
  </si>
  <si>
    <t>Tracks CAC issuance date, CAC number, expiration date, and PIV/CAC type per person. Alerts fire at 90 days and 30 days before expiration. One row per person — Vendor ID links to Personnel Register.</t>
  </si>
  <si>
    <t>PM / Security Lead — update at CAC issuance and renewal.</t>
  </si>
  <si>
    <t>Annual Training
→ Table: TrainingRegister</t>
  </si>
  <si>
    <t>Tracks completion status for up to 6 annual trainings per person. Column headers are generic (Training 1–6) — rename them to match your actual required training names. Completion date tracked per training per person.</t>
  </si>
  <si>
    <t>PM — update as training completions are confirmed. Review quarterly.</t>
  </si>
  <si>
    <t>System Access
→ Table: AccessRegister</t>
  </si>
  <si>
    <t>Tracks access request and approval status for each government system per person. One row per person per system. Tracks request date, approval date, access level, and whether access is current.</t>
  </si>
  <si>
    <t>PM / Security Lead — update at access request, approval, and revocation.</t>
  </si>
  <si>
    <t>NDA &amp; Agreements
→ Table: AgreementRegister</t>
  </si>
  <si>
    <t>Tracks NDA and any other personnel-level agreements (non-competes, IP agreements, etc.). Tracks execution date, expiration, and whether a copy is on file.</t>
  </si>
  <si>
    <t>Contracts Lead — update at execution. Review annually.</t>
  </si>
  <si>
    <t>Compliance Summary
→ Table: ComplianceSummary</t>
  </si>
  <si>
    <t>Auto-calculated program-level view of compliance status across all five domains. Designed for government customer meetings and program reviews.</t>
  </si>
  <si>
    <t>PM — read only. Auto-updates from other tabs.</t>
  </si>
  <si>
    <t>PERSONNEL TYPE DEFINITIONS</t>
  </si>
  <si>
    <t>TYPE</t>
  </si>
  <si>
    <t>DEFINITION</t>
  </si>
  <si>
    <t>NDA REQUIRED?</t>
  </si>
  <si>
    <t>FTE</t>
  </si>
  <si>
    <t>Full-time employee of the prime contractor. On prime contract payroll.</t>
  </si>
  <si>
    <t>Yes — prime NDA on file</t>
  </si>
  <si>
    <t>Part-Time</t>
  </si>
  <si>
    <t>Part-time employee of the prime contractor.</t>
  </si>
  <si>
    <t>1099</t>
  </si>
  <si>
    <t>Independent contractor engaged directly by the prime. Not on payroll.</t>
  </si>
  <si>
    <t>Yes — individual NDA required</t>
  </si>
  <si>
    <t>Subcontractor</t>
  </si>
  <si>
    <t>Personnel employed by a subcontractor company (references Vendor ID in sub tracker).</t>
  </si>
  <si>
    <t>Yes — covered by sub NDA or individual NDA</t>
  </si>
  <si>
    <t>Government</t>
  </si>
  <si>
    <t>Government customer counterpart, COR, or other government stakeholder with program involvement.</t>
  </si>
  <si>
    <t>N/A — government personnel</t>
  </si>
  <si>
    <t>Other</t>
  </si>
  <si>
    <t>Advisors, consultants, or other program-adjacent personnel.</t>
  </si>
  <si>
    <t>Yes — case by case</t>
  </si>
  <si>
    <t>STATUS VALUES USED ACROSS ALL TABS</t>
  </si>
  <si>
    <t>VALUE</t>
  </si>
  <si>
    <t>MEANING</t>
  </si>
  <si>
    <t>COLOR</t>
  </si>
  <si>
    <t>Yes / Complete</t>
  </si>
  <si>
    <t>Requirement met. No action needed.</t>
  </si>
  <si>
    <t>Green</t>
  </si>
  <si>
    <t>No / Incomplete</t>
  </si>
  <si>
    <t>Requirement not met. Action required.</t>
  </si>
  <si>
    <t>Red — bold</t>
  </si>
  <si>
    <t>Pending</t>
  </si>
  <si>
    <t>In progress — request submitted or action underway.</t>
  </si>
  <si>
    <t>Yellow</t>
  </si>
  <si>
    <t>Expired</t>
  </si>
  <si>
    <t>Previously met but now expired. Renewal required immediately.</t>
  </si>
  <si>
    <t>Waived</t>
  </si>
  <si>
    <t>Formally waived by appropriate authority. Note authority in Notes.</t>
  </si>
  <si>
    <t>Gray</t>
  </si>
  <si>
    <t>N/A</t>
  </si>
  <si>
    <t>Not applicable for this person/role.</t>
  </si>
  <si>
    <t>No color</t>
  </si>
  <si>
    <t>Revoked</t>
  </si>
  <si>
    <t>Access or agreement formally revoked. Person should not have access.</t>
  </si>
  <si>
    <t>PERSONNEL REGISTER  [Table: PersonnelRegister]</t>
  </si>
  <si>
    <t>One row per person — all personnel types in one list  •  Person ID links to all other tabs  •  Green row = template for new personnel</t>
  </si>
  <si>
    <t>Person ID</t>
  </si>
  <si>
    <t>Full Name</t>
  </si>
  <si>
    <t>Personnel
Type</t>
  </si>
  <si>
    <t>Role / Title</t>
  </si>
  <si>
    <t>LCAT
(Labor Category)</t>
  </si>
  <si>
    <t>Branch
Assigned</t>
  </si>
  <si>
    <t>Vendor ID
(if sub or 1099)</t>
  </si>
  <si>
    <t>Start
Date</t>
  </si>
  <si>
    <t>Estimated
End Date</t>
  </si>
  <si>
    <t>Days
Remaining</t>
  </si>
  <si>
    <t>On Contract
Status</t>
  </si>
  <si>
    <t>CAC
Status</t>
  </si>
  <si>
    <t>Training
Status</t>
  </si>
  <si>
    <t>System
Access Status</t>
  </si>
  <si>
    <t>NDA
Status</t>
  </si>
  <si>
    <t>Overall
Compliance</t>
  </si>
  <si>
    <t>Clearance
Level</t>
  </si>
  <si>
    <t>Notes</t>
  </si>
  <si>
    <t>Format:
P-001</t>
  </si>
  <si>
    <t>Last, First</t>
  </si>
  <si>
    <t>FTE / Part-Time
/ 1099 /
Subcontractor
/ Government
/ Other</t>
  </si>
  <si>
    <t>Official
role title</t>
  </si>
  <si>
    <t>Labor category
from contract</t>
  </si>
  <si>
    <t>Branch
1.0–6.0</t>
  </si>
  <si>
    <t>V-001 etc.
or blank if
FTE/1099</t>
  </si>
  <si>
    <t>MM/DD/
YYYY</t>
  </si>
  <si>
    <t>MM/DD/
YYYY
or Ongoing</t>
  </si>
  <si>
    <t>AUTO →
formula</t>
  </si>
  <si>
    <t>Active /
Onboarding /
Offboarding /
Inactive</t>
  </si>
  <si>
    <t>AUTO →
from CAC tab</t>
  </si>
  <si>
    <t>AUTO →
from Training
tab</t>
  </si>
  <si>
    <t>AUTO →
from Access
tab</t>
  </si>
  <si>
    <t>AUTO →
from NDA tab</t>
  </si>
  <si>
    <t>AUTO →
all green =
Compliant</t>
  </si>
  <si>
    <t>Public Trust /
Secret /
Top Secret /
Top Secret SCI
/ None</t>
  </si>
  <si>
    <t>Context</t>
  </si>
  <si>
    <t>▶ COPY ROW — fill non-AUTO fields</t>
  </si>
  <si>
    <t>[Last, First]</t>
  </si>
  <si>
    <t>[Role / Title]</t>
  </si>
  <si>
    <t>[LCAT]</t>
  </si>
  <si>
    <t>[Branch]</t>
  </si>
  <si>
    <t>Ongoing</t>
  </si>
  <si>
    <t>Active</t>
  </si>
  <si>
    <t>Public Trust</t>
  </si>
  <si>
    <t>P-001</t>
  </si>
  <si>
    <t>Carter, John</t>
  </si>
  <si>
    <t>Senior Developer</t>
  </si>
  <si>
    <t>Sr. Software Engineer</t>
  </si>
  <si>
    <t>2.0 Software Development</t>
  </si>
  <si>
    <t>V-001</t>
  </si>
  <si>
    <t>04/01/2026</t>
  </si>
  <si>
    <t>03/31/2027</t>
  </si>
  <si>
    <t>Current</t>
  </si>
  <si>
    <t>Complete</t>
  </si>
  <si>
    <t>Yes</t>
  </si>
  <si>
    <t>Secret</t>
  </si>
  <si>
    <t>Lead dev. Key SME — knowledge transfer risk per R-004.</t>
  </si>
  <si>
    <t>P-002</t>
  </si>
  <si>
    <t>Lopez, Maria</t>
  </si>
  <si>
    <t>Security Engineer</t>
  </si>
  <si>
    <t>Sr. Security Analyst</t>
  </si>
  <si>
    <t>3.0 Security &amp; Compliance</t>
  </si>
  <si>
    <t>V-002</t>
  </si>
  <si>
    <t>09/30/2026</t>
  </si>
  <si>
    <t>Top Secret</t>
  </si>
  <si>
    <t>ATO lead. PoP tied to SUBK-002 — review at mod.</t>
  </si>
  <si>
    <t>P-003</t>
  </si>
  <si>
    <t>Kim, David</t>
  </si>
  <si>
    <t>Cloud Architect</t>
  </si>
  <si>
    <t>Sr. Cloud Engineer</t>
  </si>
  <si>
    <t>4.0 Infra &amp; Environment</t>
  </si>
  <si>
    <t>V-003</t>
  </si>
  <si>
    <t>01/01/2026</t>
  </si>
  <si>
    <t>12/31/2026</t>
  </si>
  <si>
    <t>GFE environment lead. Awaiting COR authorization (BL-002).</t>
  </si>
  <si>
    <t>P-004</t>
  </si>
  <si>
    <t>Chen, Sarah</t>
  </si>
  <si>
    <t>Vendor</t>
  </si>
  <si>
    <t>Training Developer</t>
  </si>
  <si>
    <t>Training Specialist</t>
  </si>
  <si>
    <t>6.0 Fielding &amp; Transition</t>
  </si>
  <si>
    <t>V-004</t>
  </si>
  <si>
    <t>05/01/2026</t>
  </si>
  <si>
    <t>10/31/2026</t>
  </si>
  <si>
    <t>Incomplete</t>
  </si>
  <si>
    <t>CAC request submitted 05/15. Training incomplete — 2 of 6 done.</t>
  </si>
  <si>
    <t>P-005</t>
  </si>
  <si>
    <t>Torres, Mike</t>
  </si>
  <si>
    <t>Data Engineer</t>
  </si>
  <si>
    <t>Sr. Data Engineer</t>
  </si>
  <si>
    <t>V-005</t>
  </si>
  <si>
    <t>API integration lead. Monitor burn per R-004.</t>
  </si>
  <si>
    <t>P-006</t>
  </si>
  <si>
    <t>Washington, Alex</t>
  </si>
  <si>
    <t>Program Manager</t>
  </si>
  <si>
    <t>1.0 Program Management</t>
  </si>
  <si>
    <t>Prime PM. Owns all stakeholder communications.</t>
  </si>
  <si>
    <t>P-007</t>
  </si>
  <si>
    <t>Patel, Raj</t>
  </si>
  <si>
    <t>Deputy PM</t>
  </si>
  <si>
    <t>P-008</t>
  </si>
  <si>
    <t>Johnson, Lee</t>
  </si>
  <si>
    <t>Systems Analyst</t>
  </si>
  <si>
    <t>Mid Systems Analyst</t>
  </si>
  <si>
    <t>05/15/2026</t>
  </si>
  <si>
    <t>New hire. Onboarding in progress. CAC request submitted 05/20.</t>
  </si>
  <si>
    <t>P-009</t>
  </si>
  <si>
    <t>Rivera, Carmen</t>
  </si>
  <si>
    <t>COR</t>
  </si>
  <si>
    <t>Government COR</t>
  </si>
  <si>
    <t>Top Secret SCI</t>
  </si>
  <si>
    <t>Government counterpart. Primary government POC.</t>
  </si>
  <si>
    <t>P-010</t>
  </si>
  <si>
    <t>Brown, Taylor</t>
  </si>
  <si>
    <t>QA Engineer</t>
  </si>
  <si>
    <t>Jr. Test Engineer</t>
  </si>
  <si>
    <t>5.0 OT&amp;E</t>
  </si>
  <si>
    <t>06/01/2026</t>
  </si>
  <si>
    <t>New hire. CAC pending. NDA signed 06/01. Training not yet started.</t>
  </si>
  <si>
    <t>CAC &amp; IDENTITY REGISTER  [Table: CACRegister]</t>
  </si>
  <si>
    <t>One row per person  •  CAC expiration alerts: &lt;90 days = yellow, &lt;30 days or expired = red  •  CAC Status on Personnel Register pulls from column D of this tab</t>
  </si>
  <si>
    <t>CAC Status</t>
  </si>
  <si>
    <t>CAC /
PIV Type</t>
  </si>
  <si>
    <t>CAC
Number</t>
  </si>
  <si>
    <t>Issue
Date</t>
  </si>
  <si>
    <t>Expiration
Date</t>
  </si>
  <si>
    <t>Days to
Expiry</t>
  </si>
  <si>
    <t>Sponsoring
Agency</t>
  </si>
  <si>
    <t>PIV Auth
Level</t>
  </si>
  <si>
    <t>Renewal
Action</t>
  </si>
  <si>
    <t>Match
Personnel
Register</t>
  </si>
  <si>
    <t>FTE / 1099
etc.</t>
  </si>
  <si>
    <t>Current /
Pending /
Expired /
N/A</t>
  </si>
  <si>
    <t>CAC /
PIV /
ALT-CONNECT</t>
  </si>
  <si>
    <t>CAC card
number</t>
  </si>
  <si>
    <t>Issuing
government
agency</t>
  </si>
  <si>
    <t>AUTH /
DIGITAL /
ENCRYPT</t>
  </si>
  <si>
    <t>Renewal
action
required</t>
  </si>
  <si>
    <t>▶ [P-00X]</t>
  </si>
  <si>
    <t>[Type]</t>
  </si>
  <si>
    <t>CAC</t>
  </si>
  <si>
    <t>AUTH</t>
  </si>
  <si>
    <t>CAC-2847-JC</t>
  </si>
  <si>
    <t>04/01/2024</t>
  </si>
  <si>
    <t>DoD DMDC</t>
  </si>
  <si>
    <t>Standard renewal at expiry</t>
  </si>
  <si>
    <t>CAC-3912-ML</t>
  </si>
  <si>
    <t>06/15/2023</t>
  </si>
  <si>
    <t>06/14/2026</t>
  </si>
  <si>
    <t>Expiring June 2026 — initiate renewal 90 days out</t>
  </si>
  <si>
    <t>Renewal process started 03/15/2026.</t>
  </si>
  <si>
    <t>CAC-1053-DK</t>
  </si>
  <si>
    <t>01/10/2024</t>
  </si>
  <si>
    <t>01/09/2027</t>
  </si>
  <si>
    <t>CAC request submitted 05/15. Awaiting sponsorship approval.</t>
  </si>
  <si>
    <t>CAC-4421-MT</t>
  </si>
  <si>
    <t>03/15/2024</t>
  </si>
  <si>
    <t>03/14/2027</t>
  </si>
  <si>
    <t>CAC-0081-AW</t>
  </si>
  <si>
    <t>02/01/2023</t>
  </si>
  <si>
    <t>01/31/2026</t>
  </si>
  <si>
    <t>EXPIRED — renew immediately</t>
  </si>
  <si>
    <t>CAC expired 01/31/2026. Renewal in process. Using temp access credential.</t>
  </si>
  <si>
    <t>CAC-0192-RP</t>
  </si>
  <si>
    <t>CAC request submitted 05/20. Expected 4-6 weeks.</t>
  </si>
  <si>
    <t>New hire onboarding.</t>
  </si>
  <si>
    <t>PIV</t>
  </si>
  <si>
    <t>PIV-GOV-7741</t>
  </si>
  <si>
    <t>01/15/2022</t>
  </si>
  <si>
    <t>01/14/2027</t>
  </si>
  <si>
    <t>DHS</t>
  </si>
  <si>
    <t>Government-issued PIV — contractor does not manage renewal</t>
  </si>
  <si>
    <t>CAC request submitted 06/01.</t>
  </si>
  <si>
    <t>ANNUAL TRAINING REGISTER  [Table: TrainingRegister]</t>
  </si>
  <si>
    <t>One row per person  •  Rename Training 1–6 columns to match your required annual trainings  •  Training Status on Personnel Register pulls from column D of this tab  •  Green = Complete, Red = Incomplete, Yellow = Due Soon</t>
  </si>
  <si>
    <t>Training 1
[RENAME]</t>
  </si>
  <si>
    <t>T1
Complete
Date</t>
  </si>
  <si>
    <t>T1
Due Date</t>
  </si>
  <si>
    <t>Training 2
[RENAME]</t>
  </si>
  <si>
    <t>T2
Complete
Date</t>
  </si>
  <si>
    <t>T2
Due Date</t>
  </si>
  <si>
    <t>Training 3
[RENAME]</t>
  </si>
  <si>
    <t>T3
Complete
Date</t>
  </si>
  <si>
    <t>T3
Due Date</t>
  </si>
  <si>
    <t>Training 4
[RENAME]</t>
  </si>
  <si>
    <t>T4
Complete
Date</t>
  </si>
  <si>
    <t>T4
Due Date</t>
  </si>
  <si>
    <t>Training 5
[RENAME]</t>
  </si>
  <si>
    <t>T5
Complete
Date</t>
  </si>
  <si>
    <t>T5
Due Date</t>
  </si>
  <si>
    <t>Training 6
[RENAME]</t>
  </si>
  <si>
    <t>T6
Complete
Date</t>
  </si>
  <si>
    <t>T6
Due Date</t>
  </si>
  <si>
    <t>AUTO →
Complete if
all 6 done</t>
  </si>
  <si>
    <t>Yes / No /
N/A</t>
  </si>
  <si>
    <t>MM/DD/
YYYY — annual
due date</t>
  </si>
  <si>
    <t>No</t>
  </si>
  <si>
    <t>04/15/2026</t>
  </si>
  <si>
    <t>04/15/2027</t>
  </si>
  <si>
    <t>03/20/2026</t>
  </si>
  <si>
    <t>03/20/2027</t>
  </si>
  <si>
    <t>01/15/2026</t>
  </si>
  <si>
    <t>01/15/2027</t>
  </si>
  <si>
    <t>05/10/2026</t>
  </si>
  <si>
    <t>05/10/2027</t>
  </si>
  <si>
    <t>06/30/2026</t>
  </si>
  <si>
    <t>04/01/2027</t>
  </si>
  <si>
    <t>02/01/2026</t>
  </si>
  <si>
    <t>02/01/2027</t>
  </si>
  <si>
    <t>02/15/2026</t>
  </si>
  <si>
    <t>02/15/2027</t>
  </si>
  <si>
    <t>07/31/2026</t>
  </si>
  <si>
    <t>SYSTEM ACCESS REGISTER  [Table: AccessRegister]</t>
  </si>
  <si>
    <t>One row per person per system  •  Track each government system access separately  •  System Access Status on Personnel Register pulls from a COUNTIF on this tab</t>
  </si>
  <si>
    <t>System
Name</t>
  </si>
  <si>
    <t>Access
Status</t>
  </si>
  <si>
    <t>Access
Level</t>
  </si>
  <si>
    <t>Request
Date</t>
  </si>
  <si>
    <t>Approval
Date</t>
  </si>
  <si>
    <t>Access
Expiry</t>
  </si>
  <si>
    <t>Sponsor /
Approver</t>
  </si>
  <si>
    <t>Account
ID / Username</t>
  </si>
  <si>
    <t>MFA
Enabled?</t>
  </si>
  <si>
    <t>Last
Reviewed</t>
  </si>
  <si>
    <t>e.g. GCC-H /
MilConnect /
JIRA Gov /
etc.</t>
  </si>
  <si>
    <t>Active /
Pending /
Revoked /
Expired / N/A</t>
  </si>
  <si>
    <t>Read /
Read-Write /
Admin</t>
  </si>
  <si>
    <t>MM/DD/YYYY
or Ongoing</t>
  </si>
  <si>
    <t>Govt sponsor
or PM</t>
  </si>
  <si>
    <t>System
username
or ID</t>
  </si>
  <si>
    <t>Yes / No</t>
  </si>
  <si>
    <t>[System]</t>
  </si>
  <si>
    <t>Read-Write</t>
  </si>
  <si>
    <t>[Sponsor]</t>
  </si>
  <si>
    <t>GCC-H</t>
  </si>
  <si>
    <t>04/05/2026</t>
  </si>
  <si>
    <t>jcarter_gov</t>
  </si>
  <si>
    <t>Primary dev environment access.</t>
  </si>
  <si>
    <t>JIRA Gov</t>
  </si>
  <si>
    <t>jcarter_jira</t>
  </si>
  <si>
    <t>mlopez_gov</t>
  </si>
  <si>
    <t>Security team access.</t>
  </si>
  <si>
    <t>ACAS</t>
  </si>
  <si>
    <t>04/20/2026</t>
  </si>
  <si>
    <t>mlopez_acas</t>
  </si>
  <si>
    <t>Required for vulnerability scanning.</t>
  </si>
  <si>
    <t>01/25/2026</t>
  </si>
  <si>
    <t>dkim_gov</t>
  </si>
  <si>
    <t>Cloud environment access.</t>
  </si>
  <si>
    <t>Read</t>
  </si>
  <si>
    <t>05/20/2026</t>
  </si>
  <si>
    <t>Access request submitted. Awaiting approval.</t>
  </si>
  <si>
    <t>mtorres_gov</t>
  </si>
  <si>
    <t>API access for integration work.</t>
  </si>
  <si>
    <t>Admin</t>
  </si>
  <si>
    <t>awash_gov</t>
  </si>
  <si>
    <t>Admin access as PM.</t>
  </si>
  <si>
    <t>rpatel_gov</t>
  </si>
  <si>
    <t>05/25/2026</t>
  </si>
  <si>
    <t>New hire access request. Expected 2-3 weeks.</t>
  </si>
  <si>
    <t>crivera_gov</t>
  </si>
  <si>
    <t>Government COR — native access.</t>
  </si>
  <si>
    <t>06/05/2026</t>
  </si>
  <si>
    <t>New hire. Access request submitted 06/05.</t>
  </si>
  <si>
    <t>NDA &amp; AGREEMENTS REGISTER  [Table: AgreementRegister]</t>
  </si>
  <si>
    <t>One row per agreement per person  •  NDA Status on Personnel Register pulls from column D of this tab  •  Expiration alerts: &lt;90 days = yellow, &lt;30 days = red</t>
  </si>
  <si>
    <t>Agreement
Type</t>
  </si>
  <si>
    <t>Execution
Date</t>
  </si>
  <si>
    <t>Indefinite?</t>
  </si>
  <si>
    <t>Copy
On File?</t>
  </si>
  <si>
    <t>File
Location</t>
  </si>
  <si>
    <t>Countersigned
By</t>
  </si>
  <si>
    <t>Renewal
Required?</t>
  </si>
  <si>
    <t>NDA / Non-
Compete / IP
Agreement /
Other</t>
  </si>
  <si>
    <t>Yes / No /
Pending /
Expired</t>
  </si>
  <si>
    <t>MM/DD/YYYY</t>
  </si>
  <si>
    <t>MM/DD/YYYY
or blank if
indefinite</t>
  </si>
  <si>
    <t>SharePoint
path or
folder ref</t>
  </si>
  <si>
    <t>PM or
Contracts
Lead name</t>
  </si>
  <si>
    <t>NDA</t>
  </si>
  <si>
    <t>[SharePoint path]</t>
  </si>
  <si>
    <t>[PM name]</t>
  </si>
  <si>
    <t>/SharePoint/NDAs/Carter_NDA.pdf</t>
  </si>
  <si>
    <t>PM</t>
  </si>
  <si>
    <t>Individual NDA as 1099 contractor.</t>
  </si>
  <si>
    <t>/SharePoint/NDAs/Lopez_NDA.pdf</t>
  </si>
  <si>
    <t>Covered by SUBK-002 NDA. Individual NDA also on file.</t>
  </si>
  <si>
    <t>/SharePoint/NDAs/Kim_NDA.pdf</t>
  </si>
  <si>
    <t>Covered by MSA-001 NDA.</t>
  </si>
  <si>
    <t>/SharePoint/NDAs/Chen_NDA.pdf</t>
  </si>
  <si>
    <t>Covered by PO-001 NDA.</t>
  </si>
  <si>
    <t>/SharePoint/NDAs/Torres_NDA.pdf</t>
  </si>
  <si>
    <t>Individual NDA as 1099. Also covered by SUBK-003.</t>
  </si>
  <si>
    <t>/SharePoint/NDAs/Washington_NDA.pdf</t>
  </si>
  <si>
    <t>FTE — covered by employment agreement.</t>
  </si>
  <si>
    <t>/SharePoint/NDAs/Patel_NDA.pdf</t>
  </si>
  <si>
    <t>/SharePoint/NDAs/Johnson_NDA.pdf</t>
  </si>
  <si>
    <t>New hire — NDA signed at onboarding.</t>
  </si>
  <si>
    <t>Government COR — NDA not required.</t>
  </si>
  <si>
    <t>New hire — NDA not yet executed. Schedule signing session.</t>
  </si>
  <si>
    <t>PERSONNEL COMPLIANCE SUMMARY</t>
  </si>
  <si>
    <t>Auto-calculated from all personnel tabs  •  Designed for government customer meetings and program reviews  •  Do not edit directly</t>
  </si>
  <si>
    <t>PROGRAM-LEVEL COMPLIANCE SNAPSHOT</t>
  </si>
  <si>
    <t>Metric</t>
  </si>
  <si>
    <t>Count</t>
  </si>
  <si>
    <t>% of Total</t>
  </si>
  <si>
    <t>Total Personnel on Program</t>
  </si>
  <si>
    <t>Active Personnel</t>
  </si>
  <si>
    <t>Onboarding</t>
  </si>
  <si>
    <t>Overall Compliant</t>
  </si>
  <si>
    <t>Action Required</t>
  </si>
  <si>
    <t>CAC Current</t>
  </si>
  <si>
    <t>CAC Pending or Expired</t>
  </si>
  <si>
    <t>Training Complete (all 6)</t>
  </si>
  <si>
    <t>Training Incomplete</t>
  </si>
  <si>
    <t>System Access Active</t>
  </si>
  <si>
    <t>System Access Pending</t>
  </si>
  <si>
    <t>NDAs Executed</t>
  </si>
  <si>
    <t>NDAs Pending or Not Executed</t>
  </si>
  <si>
    <t>Overall Compliance Rate</t>
  </si>
  <si>
    <t>COMPLIANCE BY BRANCH</t>
  </si>
  <si>
    <t>Branch</t>
  </si>
  <si>
    <t>Total
Personnel</t>
  </si>
  <si>
    <t>Compliant</t>
  </si>
  <si>
    <t>CAC
Current</t>
  </si>
  <si>
    <t>Training
Complete</t>
  </si>
  <si>
    <t>NDA
Executed</t>
  </si>
  <si>
    <t>ACTION REQUIRED — NON-COMPLIANT PERSONNEL</t>
  </si>
  <si>
    <t>Name</t>
  </si>
  <si>
    <t>Training Status</t>
  </si>
  <si>
    <t>Access Status</t>
  </si>
  <si>
    <t>NDA Status</t>
  </si>
  <si>
    <t>6/31/2026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</si>
</sst>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276221"/>
      <name val="Arial"/>
      <charset val="1"/>
    </font>
    <font>
      <b/>
      <sz val="10"/>
      <color rgb="FF9C0006"/>
      <name val="Arial"/>
      <charset val="1"/>
    </font>
    <font>
      <sz val="10"/>
      <color rgb="FF9C6500"/>
      <name val="Arial"/>
      <charset val="1"/>
    </font>
    <font>
      <sz val="10"/>
      <color rgb="FF555555"/>
      <name val="Arial"/>
      <charset val="1"/>
    </font>
    <font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10"/>
      <color rgb="FF1E4620"/>
      <name val="Arial"/>
      <charset val="1"/>
    </font>
    <font>
      <i/>
      <sz val="10"/>
      <color rgb="FF1E462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9C0006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D8A"/>
        <bgColor rgb="FF1F3864"/>
      </patternFill>
    </fill>
    <fill>
      <patternFill patternType="solid">
        <fgColor rgb="FFFFFFFF"/>
        <bgColor rgb="FFF7F7F7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9C0006"/>
        <bgColor rgb="FF800000"/>
      </patternFill>
    </fill>
    <fill>
      <patternFill patternType="solid">
        <fgColor rgb="FFFCE4D6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12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  <xf numFmtId="9" fontId="14" fillId="6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/>
    </xf>
    <xf numFmtId="9" fontId="14" fillId="8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9" fontId="14" fillId="7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14" fontId="1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2"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555555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555555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555555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555555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555555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555555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CCCCC"/>
      <rgbColor rgb="FF555555"/>
      <rgbColor rgb="FF9999FF"/>
      <rgbColor rgb="FF993366"/>
      <rgbColor rgb="FFF7F7F7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1E4620"/>
      <rgbColor rgb="FF993300"/>
      <rgbColor rgb="FF993366"/>
      <rgbColor rgb="FF2E4D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PersonnelRegister" displayName="PersonnelRegister" ref="A3:R15" totalsRowShown="0">
  <autoFilter ref="A3:R15" xr:uid="{00000000-0009-0000-0100-000004000000}"/>
  <tableColumns count="18">
    <tableColumn id="1" xr3:uid="{00000000-0010-0000-0000-000001000000}" name="Person ID"/>
    <tableColumn id="2" xr3:uid="{00000000-0010-0000-0000-000002000000}" name="Full Name"/>
    <tableColumn id="3" xr3:uid="{00000000-0010-0000-0000-000003000000}" name="Personnel_x000a_Type"/>
    <tableColumn id="4" xr3:uid="{00000000-0010-0000-0000-000004000000}" name="Role / Title"/>
    <tableColumn id="5" xr3:uid="{00000000-0010-0000-0000-000005000000}" name="LCAT_x000a_(Labor Category)"/>
    <tableColumn id="6" xr3:uid="{00000000-0010-0000-0000-000006000000}" name="Branch_x000a_Assigned"/>
    <tableColumn id="7" xr3:uid="{00000000-0010-0000-0000-000007000000}" name="Vendor ID_x000a_(if sub or 1099)"/>
    <tableColumn id="8" xr3:uid="{00000000-0010-0000-0000-000008000000}" name="Start_x000a_Date"/>
    <tableColumn id="9" xr3:uid="{00000000-0010-0000-0000-000009000000}" name="Estimated_x000a_End Date"/>
    <tableColumn id="10" xr3:uid="{00000000-0010-0000-0000-00000A000000}" name="Days_x000a_Remaining"/>
    <tableColumn id="11" xr3:uid="{00000000-0010-0000-0000-00000B000000}" name="On Contract_x000a_Status"/>
    <tableColumn id="12" xr3:uid="{00000000-0010-0000-0000-00000C000000}" name="CAC_x000a_Status"/>
    <tableColumn id="13" xr3:uid="{00000000-0010-0000-0000-00000D000000}" name="Training_x000a_Status"/>
    <tableColumn id="14" xr3:uid="{00000000-0010-0000-0000-00000E000000}" name="System_x000a_Access Status"/>
    <tableColumn id="15" xr3:uid="{00000000-0010-0000-0000-00000F000000}" name="NDA_x000a_Status"/>
    <tableColumn id="16" xr3:uid="{00000000-0010-0000-0000-000010000000}" name="Overall_x000a_Compliance"/>
    <tableColumn id="17" xr3:uid="{00000000-0010-0000-0000-000011000000}" name="Clearance_x000a_Level"/>
    <tableColumn id="18" xr3:uid="{00000000-0010-0000-0000-000012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ACRegister" displayName="CACRegister" ref="A3:M15" totalsRowShown="0">
  <autoFilter ref="A3:M15" xr:uid="{00000000-0009-0000-0100-000003000000}"/>
  <tableColumns count="13">
    <tableColumn id="1" xr3:uid="{00000000-0010-0000-0100-000001000000}" name="Person ID"/>
    <tableColumn id="2" xr3:uid="{00000000-0010-0000-0100-000002000000}" name="Full Name"/>
    <tableColumn id="3" xr3:uid="{00000000-0010-0000-0100-000003000000}" name="Personnel_x000a_Type"/>
    <tableColumn id="4" xr3:uid="{00000000-0010-0000-0100-000004000000}" name="CAC Status"/>
    <tableColumn id="5" xr3:uid="{00000000-0010-0000-0100-000005000000}" name="CAC /_x000a_PIV Type"/>
    <tableColumn id="6" xr3:uid="{00000000-0010-0000-0100-000006000000}" name="CAC_x000a_Number"/>
    <tableColumn id="7" xr3:uid="{00000000-0010-0000-0100-000007000000}" name="Issue_x000a_Date"/>
    <tableColumn id="8" xr3:uid="{00000000-0010-0000-0100-000008000000}" name="Expiration_x000a_Date"/>
    <tableColumn id="9" xr3:uid="{00000000-0010-0000-0100-000009000000}" name="Days to_x000a_Expiry"/>
    <tableColumn id="10" xr3:uid="{00000000-0010-0000-0100-00000A000000}" name="Sponsoring_x000a_Agency"/>
    <tableColumn id="11" xr3:uid="{00000000-0010-0000-0100-00000B000000}" name="PIV Auth_x000a_Level"/>
    <tableColumn id="12" xr3:uid="{00000000-0010-0000-0100-00000C000000}" name="Renewal_x000a_Action"/>
    <tableColumn id="13" xr3:uid="{00000000-0010-0000-0100-00000D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rainingRegister" displayName="TrainingRegister" ref="A3:V15" totalsRowShown="0">
  <autoFilter ref="A3:V15" xr:uid="{00000000-0009-0000-0100-000005000000}"/>
  <tableColumns count="22">
    <tableColumn id="1" xr3:uid="{00000000-0010-0000-0200-000001000000}" name="Person ID"/>
    <tableColumn id="2" xr3:uid="{00000000-0010-0000-0200-000002000000}" name="Full Name"/>
    <tableColumn id="3" xr3:uid="{00000000-0010-0000-0200-000003000000}" name="Personnel_x000a_Type"/>
    <tableColumn id="4" xr3:uid="{00000000-0010-0000-0200-000004000000}" name="Training_x000a_Status"/>
    <tableColumn id="5" xr3:uid="{00000000-0010-0000-0200-000005000000}" name="Training 1_x000a_[RENAME]"/>
    <tableColumn id="6" xr3:uid="{00000000-0010-0000-0200-000006000000}" name="T1_x000a_Complete_x000a_Date"/>
    <tableColumn id="7" xr3:uid="{00000000-0010-0000-0200-000007000000}" name="T1_x000a_Due Date"/>
    <tableColumn id="8" xr3:uid="{00000000-0010-0000-0200-000008000000}" name="Training 2_x000a_[RENAME]"/>
    <tableColumn id="9" xr3:uid="{00000000-0010-0000-0200-000009000000}" name="T2_x000a_Complete_x000a_Date"/>
    <tableColumn id="10" xr3:uid="{00000000-0010-0000-0200-00000A000000}" name="T2_x000a_Due Date"/>
    <tableColumn id="11" xr3:uid="{00000000-0010-0000-0200-00000B000000}" name="Training 3_x000a_[RENAME]"/>
    <tableColumn id="12" xr3:uid="{00000000-0010-0000-0200-00000C000000}" name="T3_x000a_Complete_x000a_Date"/>
    <tableColumn id="13" xr3:uid="{00000000-0010-0000-0200-00000D000000}" name="T3_x000a_Due Date"/>
    <tableColumn id="14" xr3:uid="{00000000-0010-0000-0200-00000E000000}" name="Training 4_x000a_[RENAME]"/>
    <tableColumn id="15" xr3:uid="{00000000-0010-0000-0200-00000F000000}" name="T4_x000a_Complete_x000a_Date"/>
    <tableColumn id="16" xr3:uid="{00000000-0010-0000-0200-000010000000}" name="T4_x000a_Due Date"/>
    <tableColumn id="17" xr3:uid="{00000000-0010-0000-0200-000011000000}" name="Training 5_x000a_[RENAME]"/>
    <tableColumn id="18" xr3:uid="{00000000-0010-0000-0200-000012000000}" name="T5_x000a_Complete_x000a_Date"/>
    <tableColumn id="19" xr3:uid="{00000000-0010-0000-0200-000013000000}" name="T5_x000a_Due Date"/>
    <tableColumn id="20" xr3:uid="{00000000-0010-0000-0200-000014000000}" name="Training 6_x000a_[RENAME]"/>
    <tableColumn id="21" xr3:uid="{00000000-0010-0000-0200-000015000000}" name="T6_x000a_Complete_x000a_Date"/>
    <tableColumn id="22" xr3:uid="{00000000-0010-0000-0200-000016000000}" name="T6_x000a_Due Dat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AccessRegister" displayName="AccessRegister" ref="A3:N17" totalsRowShown="0">
  <autoFilter ref="A3:N17" xr:uid="{00000000-0009-0000-0100-000001000000}"/>
  <tableColumns count="14">
    <tableColumn id="1" xr3:uid="{00000000-0010-0000-0300-000001000000}" name="Person ID"/>
    <tableColumn id="2" xr3:uid="{00000000-0010-0000-0300-000002000000}" name="Full Name"/>
    <tableColumn id="3" xr3:uid="{00000000-0010-0000-0300-000003000000}" name="System_x000a_Name"/>
    <tableColumn id="4" xr3:uid="{00000000-0010-0000-0300-000004000000}" name="Access_x000a_Status"/>
    <tableColumn id="5" xr3:uid="{00000000-0010-0000-0300-000005000000}" name="Access_x000a_Level"/>
    <tableColumn id="6" xr3:uid="{00000000-0010-0000-0300-000006000000}" name="Request_x000a_Date"/>
    <tableColumn id="7" xr3:uid="{00000000-0010-0000-0300-000007000000}" name="Approval_x000a_Date"/>
    <tableColumn id="8" xr3:uid="{00000000-0010-0000-0300-000008000000}" name="Access_x000a_Expiry"/>
    <tableColumn id="9" xr3:uid="{00000000-0010-0000-0300-000009000000}" name="Days to_x000a_Expiry"/>
    <tableColumn id="10" xr3:uid="{00000000-0010-0000-0300-00000A000000}" name="Sponsor /_x000a_Approver"/>
    <tableColumn id="11" xr3:uid="{00000000-0010-0000-0300-00000B000000}" name="Account_x000a_ID / Username"/>
    <tableColumn id="12" xr3:uid="{00000000-0010-0000-0300-00000C000000}" name="MFA_x000a_Enabled?"/>
    <tableColumn id="13" xr3:uid="{00000000-0010-0000-0300-00000D000000}" name="Last_x000a_Reviewed"/>
    <tableColumn id="14" xr3:uid="{00000000-0010-0000-0300-00000E000000}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AgreementRegister" displayName="AgreementRegister" ref="A3:M15" totalsRowShown="0">
  <autoFilter ref="A3:M15" xr:uid="{00000000-0009-0000-0100-000002000000}"/>
  <tableColumns count="13">
    <tableColumn id="1" xr3:uid="{00000000-0010-0000-0400-000001000000}" name="Person ID"/>
    <tableColumn id="2" xr3:uid="{00000000-0010-0000-0400-000002000000}" name="Full Name"/>
    <tableColumn id="3" xr3:uid="{00000000-0010-0000-0400-000003000000}" name="Agreement_x000a_Type"/>
    <tableColumn id="4" xr3:uid="{00000000-0010-0000-0400-000004000000}" name="NDA_x000a_Status"/>
    <tableColumn id="5" xr3:uid="{00000000-0010-0000-0400-000005000000}" name="Execution_x000a_Date"/>
    <tableColumn id="6" xr3:uid="{00000000-0010-0000-0400-000006000000}" name="Expiration_x000a_Date"/>
    <tableColumn id="7" xr3:uid="{00000000-0010-0000-0400-000007000000}" name="Days to_x000a_Expiry"/>
    <tableColumn id="8" xr3:uid="{00000000-0010-0000-0400-000008000000}" name="Indefinite?"/>
    <tableColumn id="9" xr3:uid="{00000000-0010-0000-0400-000009000000}" name="Copy_x000a_On File?"/>
    <tableColumn id="10" xr3:uid="{00000000-0010-0000-0400-00000A000000}" name="File_x000a_Location"/>
    <tableColumn id="11" xr3:uid="{00000000-0010-0000-0400-00000B000000}" name="Countersigned_x000a_By"/>
    <tableColumn id="12" xr3:uid="{00000000-0010-0000-0400-00000C000000}" name="Renewal_x000a_Required?"/>
    <tableColumn id="13" xr3:uid="{00000000-0010-0000-0400-00000D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showGridLines="0" zoomScaleNormal="100" workbookViewId="0">
      <selection sqref="A1:C1"/>
    </sheetView>
  </sheetViews>
  <sheetFormatPr defaultColWidth="8.6328125" defaultRowHeight="14.5" x14ac:dyDescent="0.35"/>
  <cols>
    <col min="1" max="1" width="24" customWidth="1"/>
    <col min="2" max="2" width="52" customWidth="1"/>
    <col min="3" max="3" width="20" customWidth="1"/>
  </cols>
  <sheetData>
    <row r="1" spans="1:3" ht="36" customHeight="1" x14ac:dyDescent="0.35">
      <c r="A1" s="9" t="s">
        <v>0</v>
      </c>
      <c r="B1" s="9"/>
      <c r="C1" s="9"/>
    </row>
    <row r="2" spans="1:3" ht="21.75" customHeight="1" x14ac:dyDescent="0.35">
      <c r="A2" s="8" t="s">
        <v>1</v>
      </c>
      <c r="B2" s="8"/>
      <c r="C2" s="8"/>
    </row>
    <row r="4" spans="1:3" ht="24" customHeight="1" x14ac:dyDescent="0.35">
      <c r="A4" s="7" t="s">
        <v>2</v>
      </c>
      <c r="B4" s="7"/>
      <c r="C4" s="7"/>
    </row>
    <row r="5" spans="1:3" ht="27.75" customHeight="1" x14ac:dyDescent="0.35">
      <c r="A5" s="10" t="s">
        <v>3</v>
      </c>
      <c r="B5" s="10" t="s">
        <v>4</v>
      </c>
      <c r="C5" s="10" t="s">
        <v>5</v>
      </c>
    </row>
    <row r="6" spans="1:3" ht="51.75" customHeight="1" x14ac:dyDescent="0.35">
      <c r="A6" s="11" t="s">
        <v>6</v>
      </c>
      <c r="B6" s="11" t="s">
        <v>7</v>
      </c>
      <c r="C6" s="11" t="s">
        <v>8</v>
      </c>
    </row>
    <row r="7" spans="1:3" ht="51.75" customHeight="1" x14ac:dyDescent="0.35">
      <c r="A7" s="12" t="s">
        <v>9</v>
      </c>
      <c r="B7" s="12" t="s">
        <v>10</v>
      </c>
      <c r="C7" s="12" t="s">
        <v>11</v>
      </c>
    </row>
    <row r="8" spans="1:3" ht="51.75" customHeight="1" x14ac:dyDescent="0.35">
      <c r="A8" s="11" t="s">
        <v>12</v>
      </c>
      <c r="B8" s="11" t="s">
        <v>13</v>
      </c>
      <c r="C8" s="11" t="s">
        <v>14</v>
      </c>
    </row>
    <row r="9" spans="1:3" ht="51.75" customHeight="1" x14ac:dyDescent="0.35">
      <c r="A9" s="12" t="s">
        <v>15</v>
      </c>
      <c r="B9" s="12" t="s">
        <v>16</v>
      </c>
      <c r="C9" s="12" t="s">
        <v>17</v>
      </c>
    </row>
    <row r="10" spans="1:3" ht="51.75" customHeight="1" x14ac:dyDescent="0.35">
      <c r="A10" s="11" t="s">
        <v>18</v>
      </c>
      <c r="B10" s="11" t="s">
        <v>19</v>
      </c>
      <c r="C10" s="11" t="s">
        <v>20</v>
      </c>
    </row>
    <row r="11" spans="1:3" ht="51.75" customHeight="1" x14ac:dyDescent="0.35">
      <c r="A11" s="12" t="s">
        <v>21</v>
      </c>
      <c r="B11" s="12" t="s">
        <v>22</v>
      </c>
      <c r="C11" s="12" t="s">
        <v>23</v>
      </c>
    </row>
    <row r="13" spans="1:3" ht="24" customHeight="1" x14ac:dyDescent="0.35">
      <c r="A13" s="7" t="s">
        <v>24</v>
      </c>
      <c r="B13" s="7"/>
      <c r="C13" s="7"/>
    </row>
    <row r="14" spans="1:3" ht="24" customHeight="1" x14ac:dyDescent="0.35">
      <c r="A14" s="10" t="s">
        <v>25</v>
      </c>
      <c r="B14" s="10" t="s">
        <v>26</v>
      </c>
      <c r="C14" s="10" t="s">
        <v>27</v>
      </c>
    </row>
    <row r="15" spans="1:3" ht="36" customHeight="1" x14ac:dyDescent="0.35">
      <c r="A15" s="11" t="s">
        <v>28</v>
      </c>
      <c r="B15" s="11" t="s">
        <v>29</v>
      </c>
      <c r="C15" s="11" t="s">
        <v>30</v>
      </c>
    </row>
    <row r="16" spans="1:3" ht="36" customHeight="1" x14ac:dyDescent="0.35">
      <c r="A16" s="12" t="s">
        <v>31</v>
      </c>
      <c r="B16" s="12" t="s">
        <v>32</v>
      </c>
      <c r="C16" s="12" t="s">
        <v>30</v>
      </c>
    </row>
    <row r="17" spans="1:3" ht="36" customHeight="1" x14ac:dyDescent="0.35">
      <c r="A17" s="11" t="s">
        <v>33</v>
      </c>
      <c r="B17" s="11" t="s">
        <v>34</v>
      </c>
      <c r="C17" s="11" t="s">
        <v>35</v>
      </c>
    </row>
    <row r="18" spans="1:3" ht="36" customHeight="1" x14ac:dyDescent="0.35">
      <c r="A18" s="12" t="s">
        <v>36</v>
      </c>
      <c r="B18" s="12" t="s">
        <v>37</v>
      </c>
      <c r="C18" s="12" t="s">
        <v>38</v>
      </c>
    </row>
    <row r="19" spans="1:3" ht="36" customHeight="1" x14ac:dyDescent="0.35">
      <c r="A19" s="11" t="s">
        <v>39</v>
      </c>
      <c r="B19" s="11" t="s">
        <v>40</v>
      </c>
      <c r="C19" s="11" t="s">
        <v>41</v>
      </c>
    </row>
    <row r="20" spans="1:3" ht="36" customHeight="1" x14ac:dyDescent="0.35">
      <c r="A20" s="12" t="s">
        <v>42</v>
      </c>
      <c r="B20" s="12" t="s">
        <v>43</v>
      </c>
      <c r="C20" s="12" t="s">
        <v>44</v>
      </c>
    </row>
    <row r="21" spans="1:3" ht="24" customHeight="1" x14ac:dyDescent="0.35">
      <c r="A21" s="7" t="s">
        <v>45</v>
      </c>
      <c r="B21" s="7"/>
      <c r="C21" s="7"/>
    </row>
    <row r="22" spans="1:3" ht="24" customHeight="1" x14ac:dyDescent="0.35">
      <c r="A22" s="10" t="s">
        <v>46</v>
      </c>
      <c r="B22" s="10" t="s">
        <v>47</v>
      </c>
      <c r="C22" s="10" t="s">
        <v>48</v>
      </c>
    </row>
    <row r="23" spans="1:3" ht="27.75" customHeight="1" x14ac:dyDescent="0.35">
      <c r="A23" s="13" t="s">
        <v>49</v>
      </c>
      <c r="B23" s="13" t="s">
        <v>50</v>
      </c>
      <c r="C23" s="13" t="s">
        <v>51</v>
      </c>
    </row>
    <row r="24" spans="1:3" ht="27.75" customHeight="1" x14ac:dyDescent="0.35">
      <c r="A24" s="14" t="s">
        <v>52</v>
      </c>
      <c r="B24" s="14" t="s">
        <v>53</v>
      </c>
      <c r="C24" s="14" t="s">
        <v>54</v>
      </c>
    </row>
    <row r="25" spans="1:3" ht="27.75" customHeight="1" x14ac:dyDescent="0.35">
      <c r="A25" s="15" t="s">
        <v>55</v>
      </c>
      <c r="B25" s="15" t="s">
        <v>56</v>
      </c>
      <c r="C25" s="15" t="s">
        <v>57</v>
      </c>
    </row>
    <row r="26" spans="1:3" ht="27.75" customHeight="1" x14ac:dyDescent="0.35">
      <c r="A26" s="14" t="s">
        <v>58</v>
      </c>
      <c r="B26" s="14" t="s">
        <v>59</v>
      </c>
      <c r="C26" s="14" t="s">
        <v>54</v>
      </c>
    </row>
    <row r="27" spans="1:3" ht="27.75" customHeight="1" x14ac:dyDescent="0.35">
      <c r="A27" s="16" t="s">
        <v>60</v>
      </c>
      <c r="B27" s="16" t="s">
        <v>61</v>
      </c>
      <c r="C27" s="16" t="s">
        <v>62</v>
      </c>
    </row>
    <row r="28" spans="1:3" ht="27.75" customHeight="1" x14ac:dyDescent="0.35">
      <c r="A28" s="17" t="s">
        <v>63</v>
      </c>
      <c r="B28" s="17" t="s">
        <v>64</v>
      </c>
      <c r="C28" s="17" t="s">
        <v>65</v>
      </c>
    </row>
    <row r="29" spans="1:3" ht="27.75" customHeight="1" x14ac:dyDescent="0.35">
      <c r="A29" s="14" t="s">
        <v>66</v>
      </c>
      <c r="B29" s="14" t="s">
        <v>67</v>
      </c>
      <c r="C29" s="14" t="s">
        <v>54</v>
      </c>
    </row>
  </sheetData>
  <mergeCells count="5">
    <mergeCell ref="A1:C1"/>
    <mergeCell ref="A2:C2"/>
    <mergeCell ref="A4:C4"/>
    <mergeCell ref="A13:C13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6" customWidth="1"/>
    <col min="4" max="5" width="22" customWidth="1"/>
    <col min="6" max="6" width="24" customWidth="1"/>
    <col min="7" max="10" width="12" customWidth="1"/>
    <col min="11" max="11" width="14" customWidth="1"/>
    <col min="12" max="13" width="12" customWidth="1"/>
    <col min="14" max="14" width="14" customWidth="1"/>
    <col min="15" max="15" width="12" customWidth="1"/>
    <col min="16" max="16" width="16" customWidth="1"/>
    <col min="17" max="17" width="18" customWidth="1"/>
    <col min="18" max="18" width="32" customWidth="1"/>
  </cols>
  <sheetData>
    <row r="1" spans="1:18" ht="36" customHeight="1" x14ac:dyDescent="0.35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1.75" customHeight="1" x14ac:dyDescent="0.35">
      <c r="A2" s="8" t="s">
        <v>69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51.75" customHeight="1" x14ac:dyDescent="0.35">
      <c r="A3" s="18" t="s">
        <v>70</v>
      </c>
      <c r="B3" s="18" t="s">
        <v>71</v>
      </c>
      <c r="C3" s="18" t="s">
        <v>72</v>
      </c>
      <c r="D3" s="18" t="s">
        <v>73</v>
      </c>
      <c r="E3" s="18" t="s">
        <v>74</v>
      </c>
      <c r="F3" s="18" t="s">
        <v>75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80</v>
      </c>
      <c r="L3" s="18" t="s">
        <v>81</v>
      </c>
      <c r="M3" s="18" t="s">
        <v>82</v>
      </c>
      <c r="N3" s="18" t="s">
        <v>83</v>
      </c>
      <c r="O3" s="18" t="s">
        <v>84</v>
      </c>
      <c r="P3" s="18" t="s">
        <v>85</v>
      </c>
      <c r="Q3" s="18" t="s">
        <v>86</v>
      </c>
      <c r="R3" s="18" t="s">
        <v>87</v>
      </c>
    </row>
    <row r="4" spans="1:18" ht="63.75" customHeight="1" x14ac:dyDescent="0.35">
      <c r="A4" s="19" t="s">
        <v>88</v>
      </c>
      <c r="B4" s="19" t="s">
        <v>89</v>
      </c>
      <c r="C4" s="19" t="s">
        <v>90</v>
      </c>
      <c r="D4" s="19" t="s">
        <v>91</v>
      </c>
      <c r="E4" s="19" t="s">
        <v>92</v>
      </c>
      <c r="F4" s="19" t="s">
        <v>93</v>
      </c>
      <c r="G4" s="19" t="s">
        <v>94</v>
      </c>
      <c r="H4" s="19" t="s">
        <v>95</v>
      </c>
      <c r="I4" s="19" t="s">
        <v>96</v>
      </c>
      <c r="J4" s="19" t="s">
        <v>97</v>
      </c>
      <c r="K4" s="19" t="s">
        <v>98</v>
      </c>
      <c r="L4" s="19" t="s">
        <v>99</v>
      </c>
      <c r="M4" s="19" t="s">
        <v>100</v>
      </c>
      <c r="N4" s="19" t="s">
        <v>101</v>
      </c>
      <c r="O4" s="19" t="s">
        <v>102</v>
      </c>
      <c r="P4" s="19" t="s">
        <v>103</v>
      </c>
      <c r="Q4" s="19" t="s">
        <v>104</v>
      </c>
      <c r="R4" s="19" t="s">
        <v>105</v>
      </c>
    </row>
    <row r="5" spans="1:18" ht="39.75" customHeight="1" x14ac:dyDescent="0.35">
      <c r="A5" s="20" t="s">
        <v>106</v>
      </c>
      <c r="B5" s="21" t="s">
        <v>107</v>
      </c>
      <c r="C5" s="21" t="s">
        <v>28</v>
      </c>
      <c r="D5" s="21" t="s">
        <v>108</v>
      </c>
      <c r="E5" s="21" t="s">
        <v>109</v>
      </c>
      <c r="F5" s="21" t="s">
        <v>110</v>
      </c>
      <c r="G5" s="21"/>
      <c r="H5" s="21"/>
      <c r="I5" s="21" t="s">
        <v>111</v>
      </c>
      <c r="J5" s="22" t="str">
        <f ca="1">IF(AND(ISNUMBER(I5),I5&lt;&gt;"Ongoing"),I5-TODAY(),"Ongoing")</f>
        <v>Ongoing</v>
      </c>
      <c r="K5" s="21" t="s">
        <v>112</v>
      </c>
      <c r="L5" s="22" t="str">
        <f>IFERROR(VLOOKUP(A5,'CAC &amp; Identity'!$A:$D,4,0),"—")</f>
        <v>—</v>
      </c>
      <c r="M5" s="22" t="str">
        <f>IFERROR(VLOOKUP(A5,'Annual Training'!$A:$D,4,0),"—")</f>
        <v>—</v>
      </c>
      <c r="N5" s="22" t="str">
        <f>IFERROR(VLOOKUP(A5,'System Access'!$A:$D,4,0),"—")</f>
        <v>—</v>
      </c>
      <c r="O5" s="22" t="str">
        <f>IFERROR(VLOOKUP(A5,'NDA &amp; Agreements'!$A:$D,4,0),"—")</f>
        <v>—</v>
      </c>
      <c r="P5" s="22" t="str">
        <f>IF(AND(L5="Current",M5="Complete",N5="Active",O5="Yes"),"✅ Compliant","⚠️ Action Required")</f>
        <v>⚠️ Action Required</v>
      </c>
      <c r="Q5" s="21" t="s">
        <v>113</v>
      </c>
      <c r="R5" s="21"/>
    </row>
    <row r="6" spans="1:18" ht="39.75" customHeight="1" x14ac:dyDescent="0.35">
      <c r="A6" s="23" t="s">
        <v>114</v>
      </c>
      <c r="B6" s="23" t="s">
        <v>115</v>
      </c>
      <c r="C6" s="23" t="s">
        <v>33</v>
      </c>
      <c r="D6" s="23" t="s">
        <v>116</v>
      </c>
      <c r="E6" s="23" t="s">
        <v>117</v>
      </c>
      <c r="F6" s="23" t="s">
        <v>118</v>
      </c>
      <c r="G6" s="23" t="s">
        <v>119</v>
      </c>
      <c r="H6" s="23" t="s">
        <v>120</v>
      </c>
      <c r="I6" s="23" t="s">
        <v>121</v>
      </c>
      <c r="J6" s="24" t="str">
        <f t="shared" ref="J6:J15" ca="1" si="0">IF(OR(I6="Ongoing",NOT(ISNUMBER(I6))),"Ongoing",I6-TODAY())</f>
        <v>Ongoing</v>
      </c>
      <c r="K6" s="23" t="s">
        <v>112</v>
      </c>
      <c r="L6" s="23" t="s">
        <v>122</v>
      </c>
      <c r="M6" s="23" t="s">
        <v>123</v>
      </c>
      <c r="N6" s="23" t="s">
        <v>112</v>
      </c>
      <c r="O6" s="23" t="s">
        <v>124</v>
      </c>
      <c r="P6" s="24" t="str">
        <f t="shared" ref="P6:P15" si="1">IF(AND(L6="Current",OR(M6="Complete",M6="N/A"),OR(N6="Active",N6="N/A"),OR(O6="Yes",O6="N/A")),"✅ Compliant","⚠️ Action Required")</f>
        <v>✅ Compliant</v>
      </c>
      <c r="Q6" s="23" t="s">
        <v>125</v>
      </c>
      <c r="R6" s="23" t="s">
        <v>126</v>
      </c>
    </row>
    <row r="7" spans="1:18" ht="39.75" customHeight="1" x14ac:dyDescent="0.35">
      <c r="A7" s="25" t="s">
        <v>127</v>
      </c>
      <c r="B7" s="25" t="s">
        <v>128</v>
      </c>
      <c r="C7" s="25" t="s">
        <v>36</v>
      </c>
      <c r="D7" s="25" t="s">
        <v>129</v>
      </c>
      <c r="E7" s="25" t="s">
        <v>130</v>
      </c>
      <c r="F7" s="25" t="s">
        <v>131</v>
      </c>
      <c r="G7" s="25" t="s">
        <v>132</v>
      </c>
      <c r="H7" s="25" t="s">
        <v>120</v>
      </c>
      <c r="I7" s="25" t="s">
        <v>133</v>
      </c>
      <c r="J7" s="26" t="str">
        <f t="shared" ca="1" si="0"/>
        <v>Ongoing</v>
      </c>
      <c r="K7" s="25" t="s">
        <v>112</v>
      </c>
      <c r="L7" s="25" t="s">
        <v>122</v>
      </c>
      <c r="M7" s="25" t="s">
        <v>123</v>
      </c>
      <c r="N7" s="25" t="s">
        <v>112</v>
      </c>
      <c r="O7" s="25" t="s">
        <v>124</v>
      </c>
      <c r="P7" s="26" t="str">
        <f t="shared" si="1"/>
        <v>✅ Compliant</v>
      </c>
      <c r="Q7" s="25" t="s">
        <v>134</v>
      </c>
      <c r="R7" s="25" t="s">
        <v>135</v>
      </c>
    </row>
    <row r="8" spans="1:18" ht="39.75" customHeight="1" x14ac:dyDescent="0.35">
      <c r="A8" s="23" t="s">
        <v>136</v>
      </c>
      <c r="B8" s="23" t="s">
        <v>137</v>
      </c>
      <c r="C8" s="23" t="s">
        <v>36</v>
      </c>
      <c r="D8" s="23" t="s">
        <v>138</v>
      </c>
      <c r="E8" s="23" t="s">
        <v>139</v>
      </c>
      <c r="F8" s="23" t="s">
        <v>140</v>
      </c>
      <c r="G8" s="23" t="s">
        <v>141</v>
      </c>
      <c r="H8" s="23" t="s">
        <v>142</v>
      </c>
      <c r="I8" s="23" t="s">
        <v>143</v>
      </c>
      <c r="J8" s="24" t="str">
        <f t="shared" ca="1" si="0"/>
        <v>Ongoing</v>
      </c>
      <c r="K8" s="23" t="s">
        <v>112</v>
      </c>
      <c r="L8" s="23" t="s">
        <v>122</v>
      </c>
      <c r="M8" s="23" t="s">
        <v>123</v>
      </c>
      <c r="N8" s="23" t="s">
        <v>112</v>
      </c>
      <c r="O8" s="23" t="s">
        <v>124</v>
      </c>
      <c r="P8" s="24" t="str">
        <f t="shared" si="1"/>
        <v>✅ Compliant</v>
      </c>
      <c r="Q8" s="23" t="s">
        <v>125</v>
      </c>
      <c r="R8" s="23" t="s">
        <v>144</v>
      </c>
    </row>
    <row r="9" spans="1:18" ht="39.75" customHeight="1" x14ac:dyDescent="0.35">
      <c r="A9" s="25" t="s">
        <v>145</v>
      </c>
      <c r="B9" s="25" t="s">
        <v>146</v>
      </c>
      <c r="C9" s="25" t="s">
        <v>147</v>
      </c>
      <c r="D9" s="25" t="s">
        <v>148</v>
      </c>
      <c r="E9" s="25" t="s">
        <v>149</v>
      </c>
      <c r="F9" s="25" t="s">
        <v>150</v>
      </c>
      <c r="G9" s="25" t="s">
        <v>151</v>
      </c>
      <c r="H9" s="25" t="s">
        <v>152</v>
      </c>
      <c r="I9" s="25" t="s">
        <v>153</v>
      </c>
      <c r="J9" s="26" t="str">
        <f t="shared" ca="1" si="0"/>
        <v>Ongoing</v>
      </c>
      <c r="K9" s="25" t="s">
        <v>112</v>
      </c>
      <c r="L9" s="25" t="s">
        <v>55</v>
      </c>
      <c r="M9" s="25" t="s">
        <v>154</v>
      </c>
      <c r="N9" s="25" t="s">
        <v>55</v>
      </c>
      <c r="O9" s="25" t="s">
        <v>124</v>
      </c>
      <c r="P9" s="26" t="str">
        <f t="shared" si="1"/>
        <v>⚠️ Action Required</v>
      </c>
      <c r="Q9" s="25" t="s">
        <v>113</v>
      </c>
      <c r="R9" s="25" t="s">
        <v>155</v>
      </c>
    </row>
    <row r="10" spans="1:18" ht="39.75" customHeight="1" x14ac:dyDescent="0.35">
      <c r="A10" s="23" t="s">
        <v>156</v>
      </c>
      <c r="B10" s="23" t="s">
        <v>157</v>
      </c>
      <c r="C10" s="23" t="s">
        <v>33</v>
      </c>
      <c r="D10" s="23" t="s">
        <v>158</v>
      </c>
      <c r="E10" s="23" t="s">
        <v>159</v>
      </c>
      <c r="F10" s="23" t="s">
        <v>118</v>
      </c>
      <c r="G10" s="23" t="s">
        <v>160</v>
      </c>
      <c r="H10" s="23" t="s">
        <v>120</v>
      </c>
      <c r="I10" s="23" t="s">
        <v>121</v>
      </c>
      <c r="J10" s="24" t="str">
        <f t="shared" ca="1" si="0"/>
        <v>Ongoing</v>
      </c>
      <c r="K10" s="23" t="s">
        <v>112</v>
      </c>
      <c r="L10" s="23" t="s">
        <v>122</v>
      </c>
      <c r="M10" s="23" t="s">
        <v>123</v>
      </c>
      <c r="N10" s="23" t="s">
        <v>112</v>
      </c>
      <c r="O10" s="23" t="s">
        <v>124</v>
      </c>
      <c r="P10" s="24" t="str">
        <f t="shared" si="1"/>
        <v>✅ Compliant</v>
      </c>
      <c r="Q10" s="23" t="s">
        <v>125</v>
      </c>
      <c r="R10" s="23" t="s">
        <v>161</v>
      </c>
    </row>
    <row r="11" spans="1:18" ht="39.75" customHeight="1" x14ac:dyDescent="0.35">
      <c r="A11" s="25" t="s">
        <v>162</v>
      </c>
      <c r="B11" s="25" t="s">
        <v>163</v>
      </c>
      <c r="C11" s="25" t="s">
        <v>28</v>
      </c>
      <c r="D11" s="25" t="s">
        <v>164</v>
      </c>
      <c r="E11" s="25" t="s">
        <v>164</v>
      </c>
      <c r="F11" s="25" t="s">
        <v>165</v>
      </c>
      <c r="G11" s="25"/>
      <c r="H11" s="25" t="s">
        <v>120</v>
      </c>
      <c r="I11" s="25" t="s">
        <v>111</v>
      </c>
      <c r="J11" s="26" t="str">
        <f t="shared" ca="1" si="0"/>
        <v>Ongoing</v>
      </c>
      <c r="K11" s="25" t="s">
        <v>112</v>
      </c>
      <c r="L11" s="25" t="s">
        <v>122</v>
      </c>
      <c r="M11" s="25" t="s">
        <v>123</v>
      </c>
      <c r="N11" s="25" t="s">
        <v>112</v>
      </c>
      <c r="O11" s="25" t="s">
        <v>124</v>
      </c>
      <c r="P11" s="26" t="str">
        <f t="shared" si="1"/>
        <v>✅ Compliant</v>
      </c>
      <c r="Q11" s="25" t="s">
        <v>134</v>
      </c>
      <c r="R11" s="25" t="s">
        <v>166</v>
      </c>
    </row>
    <row r="12" spans="1:18" ht="39.75" customHeight="1" x14ac:dyDescent="0.35">
      <c r="A12" s="23" t="s">
        <v>167</v>
      </c>
      <c r="B12" s="23" t="s">
        <v>168</v>
      </c>
      <c r="C12" s="23" t="s">
        <v>28</v>
      </c>
      <c r="D12" s="23" t="s">
        <v>169</v>
      </c>
      <c r="E12" s="23" t="s">
        <v>169</v>
      </c>
      <c r="F12" s="23" t="s">
        <v>165</v>
      </c>
      <c r="G12" s="23"/>
      <c r="H12" s="23" t="s">
        <v>120</v>
      </c>
      <c r="I12" s="23" t="s">
        <v>111</v>
      </c>
      <c r="J12" s="24" t="str">
        <f t="shared" ca="1" si="0"/>
        <v>Ongoing</v>
      </c>
      <c r="K12" s="23" t="s">
        <v>112</v>
      </c>
      <c r="L12" s="23" t="s">
        <v>122</v>
      </c>
      <c r="M12" s="23" t="s">
        <v>123</v>
      </c>
      <c r="N12" s="23" t="s">
        <v>112</v>
      </c>
      <c r="O12" s="23" t="s">
        <v>124</v>
      </c>
      <c r="P12" s="24" t="str">
        <f t="shared" si="1"/>
        <v>✅ Compliant</v>
      </c>
      <c r="Q12" s="23" t="s">
        <v>134</v>
      </c>
      <c r="R12" s="23"/>
    </row>
    <row r="13" spans="1:18" ht="39.75" customHeight="1" x14ac:dyDescent="0.35">
      <c r="A13" s="25" t="s">
        <v>170</v>
      </c>
      <c r="B13" s="25" t="s">
        <v>171</v>
      </c>
      <c r="C13" s="25" t="s">
        <v>28</v>
      </c>
      <c r="D13" s="25" t="s">
        <v>172</v>
      </c>
      <c r="E13" s="25" t="s">
        <v>173</v>
      </c>
      <c r="F13" s="25" t="s">
        <v>118</v>
      </c>
      <c r="G13" s="25"/>
      <c r="H13" s="25" t="s">
        <v>174</v>
      </c>
      <c r="I13" s="25" t="s">
        <v>111</v>
      </c>
      <c r="J13" s="26" t="str">
        <f t="shared" ca="1" si="0"/>
        <v>Ongoing</v>
      </c>
      <c r="K13" s="25" t="s">
        <v>112</v>
      </c>
      <c r="L13" s="25" t="s">
        <v>55</v>
      </c>
      <c r="M13" s="25" t="s">
        <v>154</v>
      </c>
      <c r="N13" s="25" t="s">
        <v>55</v>
      </c>
      <c r="O13" s="25" t="s">
        <v>124</v>
      </c>
      <c r="P13" s="26" t="str">
        <f t="shared" si="1"/>
        <v>⚠️ Action Required</v>
      </c>
      <c r="Q13" s="25" t="s">
        <v>125</v>
      </c>
      <c r="R13" s="25" t="s">
        <v>175</v>
      </c>
    </row>
    <row r="14" spans="1:18" ht="39.75" customHeight="1" x14ac:dyDescent="0.35">
      <c r="A14" s="23" t="s">
        <v>176</v>
      </c>
      <c r="B14" s="23" t="s">
        <v>177</v>
      </c>
      <c r="C14" s="23" t="s">
        <v>39</v>
      </c>
      <c r="D14" s="23" t="s">
        <v>178</v>
      </c>
      <c r="E14" s="23" t="s">
        <v>179</v>
      </c>
      <c r="F14" s="23" t="s">
        <v>165</v>
      </c>
      <c r="G14" s="23"/>
      <c r="H14" s="23" t="s">
        <v>120</v>
      </c>
      <c r="I14" s="23" t="s">
        <v>111</v>
      </c>
      <c r="J14" s="24" t="str">
        <f t="shared" ca="1" si="0"/>
        <v>Ongoing</v>
      </c>
      <c r="K14" s="23" t="s">
        <v>112</v>
      </c>
      <c r="L14" s="23" t="s">
        <v>122</v>
      </c>
      <c r="M14" s="23" t="s">
        <v>63</v>
      </c>
      <c r="N14" s="23" t="s">
        <v>63</v>
      </c>
      <c r="O14" s="23" t="s">
        <v>63</v>
      </c>
      <c r="P14" s="24" t="str">
        <f t="shared" si="1"/>
        <v>✅ Compliant</v>
      </c>
      <c r="Q14" s="23" t="s">
        <v>180</v>
      </c>
      <c r="R14" s="23" t="s">
        <v>181</v>
      </c>
    </row>
    <row r="15" spans="1:18" ht="39.75" customHeight="1" x14ac:dyDescent="0.35">
      <c r="A15" s="25" t="s">
        <v>182</v>
      </c>
      <c r="B15" s="25" t="s">
        <v>183</v>
      </c>
      <c r="C15" s="25" t="s">
        <v>28</v>
      </c>
      <c r="D15" s="25" t="s">
        <v>184</v>
      </c>
      <c r="E15" s="25" t="s">
        <v>185</v>
      </c>
      <c r="F15" s="25" t="s">
        <v>186</v>
      </c>
      <c r="G15" s="25"/>
      <c r="H15" s="25" t="s">
        <v>187</v>
      </c>
      <c r="I15" s="25" t="s">
        <v>111</v>
      </c>
      <c r="J15" s="26" t="str">
        <f t="shared" ca="1" si="0"/>
        <v>Ongoing</v>
      </c>
      <c r="K15" s="25" t="s">
        <v>112</v>
      </c>
      <c r="L15" s="25" t="s">
        <v>55</v>
      </c>
      <c r="M15" s="25" t="s">
        <v>154</v>
      </c>
      <c r="N15" s="25" t="s">
        <v>55</v>
      </c>
      <c r="O15" s="25" t="s">
        <v>55</v>
      </c>
      <c r="P15" s="26" t="str">
        <f t="shared" si="1"/>
        <v>⚠️ Action Required</v>
      </c>
      <c r="Q15" s="25" t="s">
        <v>113</v>
      </c>
      <c r="R15" s="25" t="s">
        <v>188</v>
      </c>
    </row>
  </sheetData>
  <mergeCells count="2">
    <mergeCell ref="A1:R1"/>
    <mergeCell ref="A2:R2"/>
  </mergeCells>
  <conditionalFormatting sqref="L6:L200">
    <cfRule type="expression" dxfId="81" priority="6">
      <formula>L6="Pending"</formula>
    </cfRule>
    <cfRule type="expression" dxfId="80" priority="7">
      <formula>L6="Current"</formula>
    </cfRule>
    <cfRule type="expression" dxfId="79" priority="8">
      <formula>L6="Expired"</formula>
    </cfRule>
    <cfRule type="expression" dxfId="78" priority="9">
      <formula>L6="Complete"</formula>
    </cfRule>
    <cfRule type="expression" dxfId="77" priority="10">
      <formula>L6="Incomplete"</formula>
    </cfRule>
    <cfRule type="expression" dxfId="76" priority="11">
      <formula>L6="Active"</formula>
    </cfRule>
  </conditionalFormatting>
  <conditionalFormatting sqref="L6:M200">
    <cfRule type="expression" dxfId="75" priority="12">
      <formula>L6="Pending"</formula>
    </cfRule>
  </conditionalFormatting>
  <conditionalFormatting sqref="L6:O200">
    <cfRule type="expression" dxfId="74" priority="4">
      <formula>LEFT(L6,3)="Yes"</formula>
    </cfRule>
    <cfRule type="expression" dxfId="73" priority="5">
      <formula>LEFT(L6,2)="No"</formula>
    </cfRule>
  </conditionalFormatting>
  <conditionalFormatting sqref="M6:M200">
    <cfRule type="expression" dxfId="72" priority="16">
      <formula>M6="Current"</formula>
    </cfRule>
    <cfRule type="expression" dxfId="71" priority="17">
      <formula>M6="Expired"</formula>
    </cfRule>
    <cfRule type="expression" dxfId="70" priority="18">
      <formula>M6="Complete"</formula>
    </cfRule>
    <cfRule type="expression" dxfId="69" priority="19">
      <formula>M6="Incomplete"</formula>
    </cfRule>
    <cfRule type="expression" dxfId="68" priority="20">
      <formula>M6="Active"</formula>
    </cfRule>
  </conditionalFormatting>
  <conditionalFormatting sqref="M6:N200">
    <cfRule type="expression" dxfId="67" priority="21">
      <formula>M6="Pending"</formula>
    </cfRule>
  </conditionalFormatting>
  <conditionalFormatting sqref="N6:N200">
    <cfRule type="expression" dxfId="66" priority="28">
      <formula>N6="Incomplete"</formula>
    </cfRule>
    <cfRule type="expression" dxfId="65" priority="27">
      <formula>N6="Complete"</formula>
    </cfRule>
    <cfRule type="expression" dxfId="64" priority="26">
      <formula>N6="Expired"</formula>
    </cfRule>
    <cfRule type="expression" dxfId="63" priority="25">
      <formula>N6="Current"</formula>
    </cfRule>
    <cfRule type="expression" dxfId="62" priority="29">
      <formula>N6="Active"</formula>
    </cfRule>
  </conditionalFormatting>
  <conditionalFormatting sqref="N6:O200">
    <cfRule type="expression" dxfId="61" priority="30">
      <formula>N6="Pending"</formula>
    </cfRule>
  </conditionalFormatting>
  <conditionalFormatting sqref="O6:O200">
    <cfRule type="expression" dxfId="60" priority="39">
      <formula>O6="Pending"</formula>
    </cfRule>
    <cfRule type="expression" dxfId="59" priority="34">
      <formula>O6="Current"</formula>
    </cfRule>
    <cfRule type="expression" dxfId="58" priority="35">
      <formula>O6="Expired"</formula>
    </cfRule>
    <cfRule type="expression" dxfId="57" priority="36">
      <formula>O6="Complete"</formula>
    </cfRule>
    <cfRule type="expression" dxfId="56" priority="37">
      <formula>O6="Incomplete"</formula>
    </cfRule>
    <cfRule type="expression" dxfId="55" priority="38">
      <formula>O6="Active"</formula>
    </cfRule>
  </conditionalFormatting>
  <conditionalFormatting sqref="P6:P200">
    <cfRule type="expression" dxfId="54" priority="3">
      <formula>P6="⚠️ Action Required"</formula>
    </cfRule>
    <cfRule type="expression" dxfId="53" priority="2">
      <formula>P6="✅ Compliant"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zoomScaleNormal="100" workbookViewId="0">
      <pane ySplit="4" topLeftCell="A5" activePane="bottomLeft" state="frozen"/>
      <selection pane="bottomLeft" sqref="A1:M1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6" customWidth="1"/>
    <col min="4" max="4" width="12" customWidth="1"/>
    <col min="5" max="5" width="14" customWidth="1"/>
    <col min="6" max="6" width="16" customWidth="1"/>
    <col min="7" max="7" width="12" customWidth="1"/>
    <col min="8" max="8" width="14" customWidth="1"/>
    <col min="9" max="9" width="12" customWidth="1"/>
    <col min="10" max="10" width="18" customWidth="1"/>
    <col min="11" max="11" width="14" customWidth="1"/>
    <col min="12" max="12" width="34" customWidth="1"/>
    <col min="13" max="13" width="32" customWidth="1"/>
  </cols>
  <sheetData>
    <row r="1" spans="1:13" ht="36" customHeight="1" x14ac:dyDescent="0.35">
      <c r="A1" s="9" t="s">
        <v>189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.75" customHeight="1" x14ac:dyDescent="0.35">
      <c r="A2" s="8" t="s">
        <v>190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48" customHeight="1" x14ac:dyDescent="0.35">
      <c r="A3" s="18" t="s">
        <v>70</v>
      </c>
      <c r="B3" s="18" t="s">
        <v>71</v>
      </c>
      <c r="C3" s="18" t="s">
        <v>72</v>
      </c>
      <c r="D3" s="18" t="s">
        <v>191</v>
      </c>
      <c r="E3" s="18" t="s">
        <v>192</v>
      </c>
      <c r="F3" s="18" t="s">
        <v>193</v>
      </c>
      <c r="G3" s="18" t="s">
        <v>194</v>
      </c>
      <c r="H3" s="18" t="s">
        <v>195</v>
      </c>
      <c r="I3" s="18" t="s">
        <v>196</v>
      </c>
      <c r="J3" s="18" t="s">
        <v>197</v>
      </c>
      <c r="K3" s="18" t="s">
        <v>198</v>
      </c>
      <c r="L3" s="18" t="s">
        <v>199</v>
      </c>
      <c r="M3" s="18" t="s">
        <v>87</v>
      </c>
    </row>
    <row r="4" spans="1:13" ht="48" customHeight="1" x14ac:dyDescent="0.35">
      <c r="A4" s="19" t="s">
        <v>200</v>
      </c>
      <c r="B4" s="19" t="s">
        <v>89</v>
      </c>
      <c r="C4" s="19" t="s">
        <v>201</v>
      </c>
      <c r="D4" s="19" t="s">
        <v>202</v>
      </c>
      <c r="E4" s="19" t="s">
        <v>203</v>
      </c>
      <c r="F4" s="19" t="s">
        <v>204</v>
      </c>
      <c r="G4" s="19" t="s">
        <v>95</v>
      </c>
      <c r="H4" s="19" t="s">
        <v>95</v>
      </c>
      <c r="I4" s="19" t="s">
        <v>97</v>
      </c>
      <c r="J4" s="19" t="s">
        <v>205</v>
      </c>
      <c r="K4" s="19" t="s">
        <v>206</v>
      </c>
      <c r="L4" s="19" t="s">
        <v>207</v>
      </c>
      <c r="M4" s="19" t="s">
        <v>105</v>
      </c>
    </row>
    <row r="5" spans="1:13" ht="36" customHeight="1" x14ac:dyDescent="0.35">
      <c r="A5" s="21" t="s">
        <v>208</v>
      </c>
      <c r="B5" s="21" t="s">
        <v>107</v>
      </c>
      <c r="C5" s="21" t="s">
        <v>209</v>
      </c>
      <c r="D5" s="21" t="s">
        <v>55</v>
      </c>
      <c r="E5" s="21" t="s">
        <v>210</v>
      </c>
      <c r="F5" s="21"/>
      <c r="G5" s="21"/>
      <c r="H5" s="21"/>
      <c r="I5" s="22" t="str">
        <f t="shared" ref="I5:I15" ca="1" si="0">IF(ISNUMBER(H5),H5-TODAY(),"—")</f>
        <v>—</v>
      </c>
      <c r="J5" s="21"/>
      <c r="K5" s="21" t="s">
        <v>211</v>
      </c>
      <c r="L5" s="21"/>
      <c r="M5" s="21"/>
    </row>
    <row r="6" spans="1:13" ht="36" customHeight="1" x14ac:dyDescent="0.35">
      <c r="A6" s="23" t="s">
        <v>114</v>
      </c>
      <c r="B6" s="23" t="s">
        <v>115</v>
      </c>
      <c r="C6" s="23" t="s">
        <v>33</v>
      </c>
      <c r="D6" s="23" t="s">
        <v>122</v>
      </c>
      <c r="E6" s="23" t="s">
        <v>210</v>
      </c>
      <c r="F6" s="23" t="s">
        <v>212</v>
      </c>
      <c r="G6" s="23" t="s">
        <v>213</v>
      </c>
      <c r="H6" s="23" t="s">
        <v>121</v>
      </c>
      <c r="I6" s="24" t="str">
        <f t="shared" ca="1" si="0"/>
        <v>—</v>
      </c>
      <c r="J6" s="23" t="s">
        <v>214</v>
      </c>
      <c r="K6" s="23" t="s">
        <v>211</v>
      </c>
      <c r="L6" s="23" t="s">
        <v>215</v>
      </c>
      <c r="M6" s="23"/>
    </row>
    <row r="7" spans="1:13" ht="36" customHeight="1" x14ac:dyDescent="0.35">
      <c r="A7" s="25" t="s">
        <v>127</v>
      </c>
      <c r="B7" s="25" t="s">
        <v>128</v>
      </c>
      <c r="C7" s="25" t="s">
        <v>36</v>
      </c>
      <c r="D7" s="25" t="s">
        <v>122</v>
      </c>
      <c r="E7" s="25" t="s">
        <v>210</v>
      </c>
      <c r="F7" s="25" t="s">
        <v>216</v>
      </c>
      <c r="G7" s="25" t="s">
        <v>217</v>
      </c>
      <c r="H7" s="25" t="s">
        <v>218</v>
      </c>
      <c r="I7" s="26" t="str">
        <f t="shared" ca="1" si="0"/>
        <v>—</v>
      </c>
      <c r="J7" s="25" t="s">
        <v>214</v>
      </c>
      <c r="K7" s="25" t="s">
        <v>211</v>
      </c>
      <c r="L7" s="25" t="s">
        <v>219</v>
      </c>
      <c r="M7" s="25" t="s">
        <v>220</v>
      </c>
    </row>
    <row r="8" spans="1:13" ht="36" customHeight="1" x14ac:dyDescent="0.35">
      <c r="A8" s="23" t="s">
        <v>136</v>
      </c>
      <c r="B8" s="23" t="s">
        <v>137</v>
      </c>
      <c r="C8" s="23" t="s">
        <v>36</v>
      </c>
      <c r="D8" s="23" t="s">
        <v>122</v>
      </c>
      <c r="E8" s="23" t="s">
        <v>210</v>
      </c>
      <c r="F8" s="23" t="s">
        <v>221</v>
      </c>
      <c r="G8" s="23" t="s">
        <v>222</v>
      </c>
      <c r="H8" s="23" t="s">
        <v>223</v>
      </c>
      <c r="I8" s="24" t="str">
        <f t="shared" ca="1" si="0"/>
        <v>—</v>
      </c>
      <c r="J8" s="23" t="s">
        <v>214</v>
      </c>
      <c r="K8" s="23" t="s">
        <v>211</v>
      </c>
      <c r="L8" s="23" t="s">
        <v>215</v>
      </c>
      <c r="M8" s="23"/>
    </row>
    <row r="9" spans="1:13" ht="36" customHeight="1" x14ac:dyDescent="0.35">
      <c r="A9" s="25" t="s">
        <v>145</v>
      </c>
      <c r="B9" s="25" t="s">
        <v>146</v>
      </c>
      <c r="C9" s="25" t="s">
        <v>147</v>
      </c>
      <c r="D9" s="25" t="s">
        <v>55</v>
      </c>
      <c r="E9" s="25" t="s">
        <v>210</v>
      </c>
      <c r="F9" s="25"/>
      <c r="G9" s="25"/>
      <c r="H9" s="25"/>
      <c r="I9" s="26" t="str">
        <f t="shared" ca="1" si="0"/>
        <v>—</v>
      </c>
      <c r="J9" s="25" t="s">
        <v>214</v>
      </c>
      <c r="K9" s="25" t="s">
        <v>211</v>
      </c>
      <c r="L9" s="25" t="s">
        <v>224</v>
      </c>
      <c r="M9" s="25"/>
    </row>
    <row r="10" spans="1:13" ht="36" customHeight="1" x14ac:dyDescent="0.35">
      <c r="A10" s="23" t="s">
        <v>156</v>
      </c>
      <c r="B10" s="23" t="s">
        <v>157</v>
      </c>
      <c r="C10" s="23" t="s">
        <v>33</v>
      </c>
      <c r="D10" s="23" t="s">
        <v>122</v>
      </c>
      <c r="E10" s="23" t="s">
        <v>210</v>
      </c>
      <c r="F10" s="23" t="s">
        <v>225</v>
      </c>
      <c r="G10" s="23" t="s">
        <v>226</v>
      </c>
      <c r="H10" s="23" t="s">
        <v>227</v>
      </c>
      <c r="I10" s="24" t="str">
        <f t="shared" ca="1" si="0"/>
        <v>—</v>
      </c>
      <c r="J10" s="23" t="s">
        <v>214</v>
      </c>
      <c r="K10" s="23" t="s">
        <v>211</v>
      </c>
      <c r="L10" s="23" t="s">
        <v>215</v>
      </c>
      <c r="M10" s="23"/>
    </row>
    <row r="11" spans="1:13" ht="36" customHeight="1" x14ac:dyDescent="0.35">
      <c r="A11" s="25" t="s">
        <v>162</v>
      </c>
      <c r="B11" s="25" t="s">
        <v>163</v>
      </c>
      <c r="C11" s="25" t="s">
        <v>28</v>
      </c>
      <c r="D11" s="25" t="s">
        <v>122</v>
      </c>
      <c r="E11" s="25" t="s">
        <v>210</v>
      </c>
      <c r="F11" s="25" t="s">
        <v>228</v>
      </c>
      <c r="G11" s="25" t="s">
        <v>229</v>
      </c>
      <c r="H11" s="25" t="s">
        <v>230</v>
      </c>
      <c r="I11" s="26" t="str">
        <f t="shared" ca="1" si="0"/>
        <v>—</v>
      </c>
      <c r="J11" s="25" t="s">
        <v>214</v>
      </c>
      <c r="K11" s="25" t="s">
        <v>211</v>
      </c>
      <c r="L11" s="25" t="s">
        <v>231</v>
      </c>
      <c r="M11" s="25" t="s">
        <v>232</v>
      </c>
    </row>
    <row r="12" spans="1:13" ht="36" customHeight="1" x14ac:dyDescent="0.35">
      <c r="A12" s="23" t="s">
        <v>167</v>
      </c>
      <c r="B12" s="23" t="s">
        <v>168</v>
      </c>
      <c r="C12" s="23" t="s">
        <v>28</v>
      </c>
      <c r="D12" s="23" t="s">
        <v>122</v>
      </c>
      <c r="E12" s="23" t="s">
        <v>210</v>
      </c>
      <c r="F12" s="23" t="s">
        <v>233</v>
      </c>
      <c r="G12" s="23" t="s">
        <v>213</v>
      </c>
      <c r="H12" s="23" t="s">
        <v>121</v>
      </c>
      <c r="I12" s="24" t="str">
        <f t="shared" ca="1" si="0"/>
        <v>—</v>
      </c>
      <c r="J12" s="23" t="s">
        <v>214</v>
      </c>
      <c r="K12" s="23" t="s">
        <v>211</v>
      </c>
      <c r="L12" s="23" t="s">
        <v>215</v>
      </c>
      <c r="M12" s="23"/>
    </row>
    <row r="13" spans="1:13" ht="36" customHeight="1" x14ac:dyDescent="0.35">
      <c r="A13" s="25" t="s">
        <v>170</v>
      </c>
      <c r="B13" s="25" t="s">
        <v>171</v>
      </c>
      <c r="C13" s="25" t="s">
        <v>28</v>
      </c>
      <c r="D13" s="25" t="s">
        <v>55</v>
      </c>
      <c r="E13" s="25" t="s">
        <v>210</v>
      </c>
      <c r="F13" s="25"/>
      <c r="G13" s="25"/>
      <c r="H13" s="25"/>
      <c r="I13" s="26" t="str">
        <f t="shared" ca="1" si="0"/>
        <v>—</v>
      </c>
      <c r="J13" s="25" t="s">
        <v>214</v>
      </c>
      <c r="K13" s="25" t="s">
        <v>211</v>
      </c>
      <c r="L13" s="25" t="s">
        <v>234</v>
      </c>
      <c r="M13" s="25" t="s">
        <v>235</v>
      </c>
    </row>
    <row r="14" spans="1:13" ht="36" customHeight="1" x14ac:dyDescent="0.35">
      <c r="A14" s="23" t="s">
        <v>176</v>
      </c>
      <c r="B14" s="23" t="s">
        <v>177</v>
      </c>
      <c r="C14" s="23" t="s">
        <v>39</v>
      </c>
      <c r="D14" s="23" t="s">
        <v>122</v>
      </c>
      <c r="E14" s="23" t="s">
        <v>236</v>
      </c>
      <c r="F14" s="23" t="s">
        <v>237</v>
      </c>
      <c r="G14" s="23" t="s">
        <v>238</v>
      </c>
      <c r="H14" s="23" t="s">
        <v>239</v>
      </c>
      <c r="I14" s="24" t="str">
        <f t="shared" ca="1" si="0"/>
        <v>—</v>
      </c>
      <c r="J14" s="23" t="s">
        <v>240</v>
      </c>
      <c r="K14" s="23" t="s">
        <v>211</v>
      </c>
      <c r="L14" s="23" t="s">
        <v>241</v>
      </c>
      <c r="M14" s="23"/>
    </row>
    <row r="15" spans="1:13" ht="36" customHeight="1" x14ac:dyDescent="0.35">
      <c r="A15" s="25" t="s">
        <v>182</v>
      </c>
      <c r="B15" s="25" t="s">
        <v>183</v>
      </c>
      <c r="C15" s="25" t="s">
        <v>28</v>
      </c>
      <c r="D15" s="25" t="s">
        <v>55</v>
      </c>
      <c r="E15" s="25" t="s">
        <v>210</v>
      </c>
      <c r="F15" s="25"/>
      <c r="G15" s="25"/>
      <c r="H15" s="25"/>
      <c r="I15" s="26" t="str">
        <f t="shared" ca="1" si="0"/>
        <v>—</v>
      </c>
      <c r="J15" s="25" t="s">
        <v>214</v>
      </c>
      <c r="K15" s="25" t="s">
        <v>211</v>
      </c>
      <c r="L15" s="25" t="s">
        <v>242</v>
      </c>
      <c r="M15" s="25"/>
    </row>
  </sheetData>
  <mergeCells count="2">
    <mergeCell ref="A1:M1"/>
    <mergeCell ref="A2:M2"/>
  </mergeCells>
  <conditionalFormatting sqref="D6:D200">
    <cfRule type="expression" dxfId="52" priority="2">
      <formula>D6="Current"</formula>
    </cfRule>
    <cfRule type="expression" dxfId="51" priority="3">
      <formula>D6="Pending"</formula>
    </cfRule>
    <cfRule type="expression" dxfId="50" priority="4">
      <formula>D6="Expired"</formula>
    </cfRule>
  </conditionalFormatting>
  <conditionalFormatting sqref="H6:H200">
    <cfRule type="expression" dxfId="49" priority="9">
      <formula>AND(ISNUMBER(H6),H6&lt;TODAY())</formula>
    </cfRule>
  </conditionalFormatting>
  <conditionalFormatting sqref="I6:I200">
    <cfRule type="expression" dxfId="48" priority="5">
      <formula>AND(ISNUMBER(I6),I6&lt;0)</formula>
    </cfRule>
    <cfRule type="expression" dxfId="47" priority="6">
      <formula>AND(ISNUMBER(I6),I6&gt;=0,I6&lt;30)</formula>
    </cfRule>
    <cfRule type="expression" dxfId="46" priority="7">
      <formula>AND(ISNUMBER(I6),I6&gt;=30,I6&lt;90)</formula>
    </cfRule>
    <cfRule type="expression" dxfId="45" priority="8">
      <formula>AND(ISNUMBER(I6),I6&gt;=90)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"/>
  <sheetViews>
    <sheetView showGridLines="0" tabSelected="1" topLeftCell="C1" zoomScaleNormal="100" workbookViewId="0">
      <pane ySplit="4" topLeftCell="A5" activePane="bottomLeft" state="frozen"/>
      <selection pane="bottomLeft" activeCell="F6" sqref="F6"/>
    </sheetView>
  </sheetViews>
  <sheetFormatPr defaultColWidth="8.6328125" defaultRowHeight="14.5" x14ac:dyDescent="0.35"/>
  <cols>
    <col min="1" max="1" width="10" customWidth="1"/>
    <col min="2" max="2" width="20" customWidth="1"/>
    <col min="3" max="4" width="14" customWidth="1"/>
    <col min="5" max="5" width="16" customWidth="1"/>
    <col min="6" max="7" width="14" customWidth="1"/>
    <col min="8" max="8" width="16" customWidth="1"/>
    <col min="9" max="10" width="14" customWidth="1"/>
    <col min="11" max="11" width="16" customWidth="1"/>
    <col min="12" max="13" width="14" customWidth="1"/>
    <col min="14" max="14" width="16" customWidth="1"/>
    <col min="15" max="16" width="14" customWidth="1"/>
    <col min="17" max="17" width="16" customWidth="1"/>
    <col min="18" max="19" width="14" customWidth="1"/>
    <col min="20" max="20" width="16" customWidth="1"/>
    <col min="21" max="22" width="14" customWidth="1"/>
  </cols>
  <sheetData>
    <row r="1" spans="1:22" ht="36" customHeight="1" x14ac:dyDescent="0.35">
      <c r="A1" s="9" t="s">
        <v>243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21.75" customHeight="1" x14ac:dyDescent="0.35">
      <c r="A2" s="8" t="s">
        <v>244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55.5" customHeight="1" x14ac:dyDescent="0.35">
      <c r="A3" s="18" t="s">
        <v>70</v>
      </c>
      <c r="B3" s="18" t="s">
        <v>71</v>
      </c>
      <c r="C3" s="18" t="s">
        <v>72</v>
      </c>
      <c r="D3" s="18" t="s">
        <v>82</v>
      </c>
      <c r="E3" s="18" t="s">
        <v>245</v>
      </c>
      <c r="F3" s="18" t="s">
        <v>246</v>
      </c>
      <c r="G3" s="18" t="s">
        <v>247</v>
      </c>
      <c r="H3" s="18" t="s">
        <v>248</v>
      </c>
      <c r="I3" s="18" t="s">
        <v>249</v>
      </c>
      <c r="J3" s="18" t="s">
        <v>250</v>
      </c>
      <c r="K3" s="18" t="s">
        <v>251</v>
      </c>
      <c r="L3" s="18" t="s">
        <v>252</v>
      </c>
      <c r="M3" s="18" t="s">
        <v>253</v>
      </c>
      <c r="N3" s="18" t="s">
        <v>254</v>
      </c>
      <c r="O3" s="18" t="s">
        <v>255</v>
      </c>
      <c r="P3" s="18" t="s">
        <v>256</v>
      </c>
      <c r="Q3" s="18" t="s">
        <v>257</v>
      </c>
      <c r="R3" s="18" t="s">
        <v>258</v>
      </c>
      <c r="S3" s="18" t="s">
        <v>259</v>
      </c>
      <c r="T3" s="18" t="s">
        <v>260</v>
      </c>
      <c r="U3" s="18" t="s">
        <v>261</v>
      </c>
      <c r="V3" s="18" t="s">
        <v>262</v>
      </c>
    </row>
    <row r="4" spans="1:22" ht="51.75" customHeight="1" x14ac:dyDescent="0.35">
      <c r="A4" s="19" t="s">
        <v>200</v>
      </c>
      <c r="B4" s="19" t="s">
        <v>89</v>
      </c>
      <c r="C4" s="19" t="s">
        <v>201</v>
      </c>
      <c r="D4" s="19" t="s">
        <v>263</v>
      </c>
      <c r="E4" s="19" t="s">
        <v>264</v>
      </c>
      <c r="F4" s="19" t="s">
        <v>95</v>
      </c>
      <c r="G4" s="19" t="s">
        <v>265</v>
      </c>
      <c r="H4" s="19" t="s">
        <v>264</v>
      </c>
      <c r="I4" s="19" t="s">
        <v>95</v>
      </c>
      <c r="J4" s="19" t="s">
        <v>95</v>
      </c>
      <c r="K4" s="19" t="s">
        <v>264</v>
      </c>
      <c r="L4" s="19" t="s">
        <v>95</v>
      </c>
      <c r="M4" s="19" t="s">
        <v>95</v>
      </c>
      <c r="N4" s="19" t="s">
        <v>264</v>
      </c>
      <c r="O4" s="19" t="s">
        <v>95</v>
      </c>
      <c r="P4" s="19" t="s">
        <v>95</v>
      </c>
      <c r="Q4" s="19" t="s">
        <v>264</v>
      </c>
      <c r="R4" s="19" t="s">
        <v>95</v>
      </c>
      <c r="S4" s="19" t="s">
        <v>95</v>
      </c>
      <c r="T4" s="19" t="s">
        <v>264</v>
      </c>
      <c r="U4" s="19" t="s">
        <v>95</v>
      </c>
      <c r="V4" s="19" t="s">
        <v>95</v>
      </c>
    </row>
    <row r="5" spans="1:22" ht="36" customHeight="1" x14ac:dyDescent="0.35">
      <c r="A5" s="27" t="s">
        <v>208</v>
      </c>
      <c r="B5" s="27" t="s">
        <v>107</v>
      </c>
      <c r="C5" s="27" t="s">
        <v>209</v>
      </c>
      <c r="D5" s="22" t="str">
        <f t="shared" ref="D5:D15" si="0">IF(AND(OR(E5="Yes",E5="N/A"),OR(H5="Yes",H5="N/A"),OR(K5="Yes",K5="N/A"),OR(N5="Yes",N5="N/A"),OR(Q5="Yes",Q5="N/A"),OR(T5="Yes",T5="N/A")),"Complete","Incomplete")</f>
        <v>Incomplete</v>
      </c>
      <c r="E5" s="27" t="s">
        <v>266</v>
      </c>
      <c r="F5" s="27"/>
      <c r="G5" s="27"/>
      <c r="H5" s="27" t="s">
        <v>266</v>
      </c>
      <c r="I5" s="27"/>
      <c r="J5" s="27"/>
      <c r="K5" s="27" t="s">
        <v>266</v>
      </c>
      <c r="L5" s="27"/>
      <c r="M5" s="27"/>
      <c r="N5" s="27" t="s">
        <v>266</v>
      </c>
      <c r="O5" s="27"/>
      <c r="P5" s="27"/>
      <c r="Q5" s="27" t="s">
        <v>266</v>
      </c>
      <c r="R5" s="27"/>
      <c r="S5" s="27"/>
      <c r="T5" s="27" t="s">
        <v>266</v>
      </c>
      <c r="U5" s="27"/>
      <c r="V5" s="27"/>
    </row>
    <row r="6" spans="1:22" ht="36" customHeight="1" x14ac:dyDescent="0.35">
      <c r="A6" s="28" t="s">
        <v>114</v>
      </c>
      <c r="B6" s="28" t="s">
        <v>115</v>
      </c>
      <c r="C6" s="28" t="s">
        <v>33</v>
      </c>
      <c r="D6" s="24" t="str">
        <f t="shared" si="0"/>
        <v>Complete</v>
      </c>
      <c r="E6" s="28" t="s">
        <v>124</v>
      </c>
      <c r="F6" s="42">
        <v>46096</v>
      </c>
      <c r="G6" s="42" t="s">
        <v>402</v>
      </c>
      <c r="H6" s="28" t="s">
        <v>124</v>
      </c>
      <c r="I6" s="28" t="s">
        <v>267</v>
      </c>
      <c r="J6" s="28" t="s">
        <v>268</v>
      </c>
      <c r="K6" s="28" t="s">
        <v>124</v>
      </c>
      <c r="L6" s="28" t="s">
        <v>267</v>
      </c>
      <c r="M6" s="28" t="s">
        <v>268</v>
      </c>
      <c r="N6" s="28" t="s">
        <v>124</v>
      </c>
      <c r="O6" s="28" t="s">
        <v>267</v>
      </c>
      <c r="P6" s="28" t="s">
        <v>268</v>
      </c>
      <c r="Q6" s="28" t="s">
        <v>124</v>
      </c>
      <c r="R6" s="28" t="s">
        <v>267</v>
      </c>
      <c r="S6" s="28" t="s">
        <v>268</v>
      </c>
      <c r="T6" s="28" t="s">
        <v>124</v>
      </c>
      <c r="U6" s="28" t="s">
        <v>267</v>
      </c>
      <c r="V6" s="28" t="s">
        <v>268</v>
      </c>
    </row>
    <row r="7" spans="1:22" ht="36" customHeight="1" x14ac:dyDescent="0.35">
      <c r="A7" s="29" t="s">
        <v>127</v>
      </c>
      <c r="B7" s="29" t="s">
        <v>128</v>
      </c>
      <c r="C7" s="29" t="s">
        <v>36</v>
      </c>
      <c r="D7" s="26" t="str">
        <f t="shared" si="0"/>
        <v>Complete</v>
      </c>
      <c r="E7" s="29" t="s">
        <v>124</v>
      </c>
      <c r="F7" s="29" t="s">
        <v>269</v>
      </c>
      <c r="G7" s="29" t="s">
        <v>270</v>
      </c>
      <c r="H7" s="29" t="s">
        <v>124</v>
      </c>
      <c r="I7" s="29" t="s">
        <v>269</v>
      </c>
      <c r="J7" s="29" t="s">
        <v>270</v>
      </c>
      <c r="K7" s="29" t="s">
        <v>124</v>
      </c>
      <c r="L7" s="29" t="s">
        <v>269</v>
      </c>
      <c r="M7" s="29" t="s">
        <v>270</v>
      </c>
      <c r="N7" s="29" t="s">
        <v>124</v>
      </c>
      <c r="O7" s="29" t="s">
        <v>269</v>
      </c>
      <c r="P7" s="29" t="s">
        <v>270</v>
      </c>
      <c r="Q7" s="29" t="s">
        <v>124</v>
      </c>
      <c r="R7" s="29" t="s">
        <v>269</v>
      </c>
      <c r="S7" s="29" t="s">
        <v>270</v>
      </c>
      <c r="T7" s="29" t="s">
        <v>124</v>
      </c>
      <c r="U7" s="29" t="s">
        <v>269</v>
      </c>
      <c r="V7" s="29" t="s">
        <v>270</v>
      </c>
    </row>
    <row r="8" spans="1:22" ht="36" customHeight="1" x14ac:dyDescent="0.35">
      <c r="A8" s="28" t="s">
        <v>136</v>
      </c>
      <c r="B8" s="28" t="s">
        <v>137</v>
      </c>
      <c r="C8" s="28" t="s">
        <v>36</v>
      </c>
      <c r="D8" s="24" t="str">
        <f t="shared" si="0"/>
        <v>Complete</v>
      </c>
      <c r="E8" s="28" t="s">
        <v>124</v>
      </c>
      <c r="F8" s="28" t="s">
        <v>271</v>
      </c>
      <c r="G8" s="28" t="s">
        <v>272</v>
      </c>
      <c r="H8" s="28" t="s">
        <v>124</v>
      </c>
      <c r="I8" s="28" t="s">
        <v>271</v>
      </c>
      <c r="J8" s="28" t="s">
        <v>272</v>
      </c>
      <c r="K8" s="28" t="s">
        <v>124</v>
      </c>
      <c r="L8" s="28" t="s">
        <v>271</v>
      </c>
      <c r="M8" s="28" t="s">
        <v>272</v>
      </c>
      <c r="N8" s="28" t="s">
        <v>124</v>
      </c>
      <c r="O8" s="28" t="s">
        <v>271</v>
      </c>
      <c r="P8" s="28" t="s">
        <v>272</v>
      </c>
      <c r="Q8" s="28" t="s">
        <v>124</v>
      </c>
      <c r="R8" s="28" t="s">
        <v>271</v>
      </c>
      <c r="S8" s="28" t="s">
        <v>272</v>
      </c>
      <c r="T8" s="28" t="s">
        <v>124</v>
      </c>
      <c r="U8" s="28" t="s">
        <v>271</v>
      </c>
      <c r="V8" s="28" t="s">
        <v>272</v>
      </c>
    </row>
    <row r="9" spans="1:22" ht="36" customHeight="1" x14ac:dyDescent="0.35">
      <c r="A9" s="29" t="s">
        <v>145</v>
      </c>
      <c r="B9" s="29" t="s">
        <v>146</v>
      </c>
      <c r="C9" s="29" t="s">
        <v>147</v>
      </c>
      <c r="D9" s="26" t="str">
        <f t="shared" si="0"/>
        <v>Incomplete</v>
      </c>
      <c r="E9" s="29" t="s">
        <v>124</v>
      </c>
      <c r="F9" s="29" t="s">
        <v>273</v>
      </c>
      <c r="G9" s="29" t="s">
        <v>274</v>
      </c>
      <c r="H9" s="29" t="s">
        <v>124</v>
      </c>
      <c r="I9" s="29" t="s">
        <v>273</v>
      </c>
      <c r="J9" s="29" t="s">
        <v>274</v>
      </c>
      <c r="K9" s="29" t="s">
        <v>266</v>
      </c>
      <c r="L9" s="29"/>
      <c r="M9" s="29" t="s">
        <v>275</v>
      </c>
      <c r="N9" s="29" t="s">
        <v>266</v>
      </c>
      <c r="O9" s="29"/>
      <c r="P9" s="29" t="s">
        <v>275</v>
      </c>
      <c r="Q9" s="29" t="s">
        <v>266</v>
      </c>
      <c r="R9" s="29"/>
      <c r="S9" s="29" t="s">
        <v>275</v>
      </c>
      <c r="T9" s="29" t="s">
        <v>266</v>
      </c>
      <c r="U9" s="29"/>
      <c r="V9" s="29" t="s">
        <v>275</v>
      </c>
    </row>
    <row r="10" spans="1:22" ht="36" customHeight="1" x14ac:dyDescent="0.35">
      <c r="A10" s="28" t="s">
        <v>156</v>
      </c>
      <c r="B10" s="28" t="s">
        <v>157</v>
      </c>
      <c r="C10" s="28" t="s">
        <v>33</v>
      </c>
      <c r="D10" s="24" t="str">
        <f t="shared" si="0"/>
        <v>Complete</v>
      </c>
      <c r="E10" s="28" t="s">
        <v>124</v>
      </c>
      <c r="F10" s="28" t="s">
        <v>120</v>
      </c>
      <c r="G10" s="28" t="s">
        <v>276</v>
      </c>
      <c r="H10" s="28" t="s">
        <v>124</v>
      </c>
      <c r="I10" s="28" t="s">
        <v>120</v>
      </c>
      <c r="J10" s="28" t="s">
        <v>276</v>
      </c>
      <c r="K10" s="28" t="s">
        <v>124</v>
      </c>
      <c r="L10" s="28" t="s">
        <v>120</v>
      </c>
      <c r="M10" s="28" t="s">
        <v>276</v>
      </c>
      <c r="N10" s="28" t="s">
        <v>124</v>
      </c>
      <c r="O10" s="28" t="s">
        <v>120</v>
      </c>
      <c r="P10" s="28" t="s">
        <v>276</v>
      </c>
      <c r="Q10" s="28" t="s">
        <v>124</v>
      </c>
      <c r="R10" s="28" t="s">
        <v>120</v>
      </c>
      <c r="S10" s="28" t="s">
        <v>276</v>
      </c>
      <c r="T10" s="28" t="s">
        <v>124</v>
      </c>
      <c r="U10" s="28" t="s">
        <v>120</v>
      </c>
      <c r="V10" s="28" t="s">
        <v>276</v>
      </c>
    </row>
    <row r="11" spans="1:22" ht="36" customHeight="1" x14ac:dyDescent="0.35">
      <c r="A11" s="29" t="s">
        <v>162</v>
      </c>
      <c r="B11" s="29" t="s">
        <v>163</v>
      </c>
      <c r="C11" s="29" t="s">
        <v>28</v>
      </c>
      <c r="D11" s="26" t="str">
        <f t="shared" si="0"/>
        <v>Complete</v>
      </c>
      <c r="E11" s="29" t="s">
        <v>124</v>
      </c>
      <c r="F11" s="29" t="s">
        <v>277</v>
      </c>
      <c r="G11" s="29" t="s">
        <v>278</v>
      </c>
      <c r="H11" s="29" t="s">
        <v>124</v>
      </c>
      <c r="I11" s="29" t="s">
        <v>277</v>
      </c>
      <c r="J11" s="29" t="s">
        <v>278</v>
      </c>
      <c r="K11" s="29" t="s">
        <v>124</v>
      </c>
      <c r="L11" s="29" t="s">
        <v>277</v>
      </c>
      <c r="M11" s="29" t="s">
        <v>278</v>
      </c>
      <c r="N11" s="29" t="s">
        <v>124</v>
      </c>
      <c r="O11" s="29" t="s">
        <v>277</v>
      </c>
      <c r="P11" s="29" t="s">
        <v>278</v>
      </c>
      <c r="Q11" s="29" t="s">
        <v>124</v>
      </c>
      <c r="R11" s="29" t="s">
        <v>277</v>
      </c>
      <c r="S11" s="29" t="s">
        <v>278</v>
      </c>
      <c r="T11" s="29" t="s">
        <v>124</v>
      </c>
      <c r="U11" s="29" t="s">
        <v>277</v>
      </c>
      <c r="V11" s="29" t="s">
        <v>278</v>
      </c>
    </row>
    <row r="12" spans="1:22" ht="36" customHeight="1" x14ac:dyDescent="0.35">
      <c r="A12" s="28" t="s">
        <v>167</v>
      </c>
      <c r="B12" s="28" t="s">
        <v>168</v>
      </c>
      <c r="C12" s="28" t="s">
        <v>28</v>
      </c>
      <c r="D12" s="24" t="str">
        <f t="shared" si="0"/>
        <v>Complete</v>
      </c>
      <c r="E12" s="28" t="s">
        <v>124</v>
      </c>
      <c r="F12" s="28" t="s">
        <v>279</v>
      </c>
      <c r="G12" s="28" t="s">
        <v>280</v>
      </c>
      <c r="H12" s="28" t="s">
        <v>124</v>
      </c>
      <c r="I12" s="28" t="s">
        <v>279</v>
      </c>
      <c r="J12" s="28" t="s">
        <v>280</v>
      </c>
      <c r="K12" s="28" t="s">
        <v>124</v>
      </c>
      <c r="L12" s="28" t="s">
        <v>279</v>
      </c>
      <c r="M12" s="28" t="s">
        <v>280</v>
      </c>
      <c r="N12" s="28" t="s">
        <v>124</v>
      </c>
      <c r="O12" s="28" t="s">
        <v>279</v>
      </c>
      <c r="P12" s="28" t="s">
        <v>280</v>
      </c>
      <c r="Q12" s="28" t="s">
        <v>124</v>
      </c>
      <c r="R12" s="28" t="s">
        <v>279</v>
      </c>
      <c r="S12" s="28" t="s">
        <v>280</v>
      </c>
      <c r="T12" s="28" t="s">
        <v>124</v>
      </c>
      <c r="U12" s="28" t="s">
        <v>279</v>
      </c>
      <c r="V12" s="28" t="s">
        <v>280</v>
      </c>
    </row>
    <row r="13" spans="1:22" ht="36" customHeight="1" x14ac:dyDescent="0.35">
      <c r="A13" s="29" t="s">
        <v>170</v>
      </c>
      <c r="B13" s="29" t="s">
        <v>171</v>
      </c>
      <c r="C13" s="29" t="s">
        <v>28</v>
      </c>
      <c r="D13" s="26" t="str">
        <f t="shared" si="0"/>
        <v>Incomplete</v>
      </c>
      <c r="E13" s="29" t="s">
        <v>266</v>
      </c>
      <c r="F13" s="29"/>
      <c r="G13" s="29" t="s">
        <v>275</v>
      </c>
      <c r="H13" s="29" t="s">
        <v>266</v>
      </c>
      <c r="I13" s="29"/>
      <c r="J13" s="29" t="s">
        <v>275</v>
      </c>
      <c r="K13" s="29" t="s">
        <v>266</v>
      </c>
      <c r="L13" s="29"/>
      <c r="M13" s="29" t="s">
        <v>275</v>
      </c>
      <c r="N13" s="29" t="s">
        <v>266</v>
      </c>
      <c r="O13" s="29"/>
      <c r="P13" s="29" t="s">
        <v>275</v>
      </c>
      <c r="Q13" s="29" t="s">
        <v>266</v>
      </c>
      <c r="R13" s="29"/>
      <c r="S13" s="29" t="s">
        <v>275</v>
      </c>
      <c r="T13" s="29" t="s">
        <v>266</v>
      </c>
      <c r="U13" s="29"/>
      <c r="V13" s="29" t="s">
        <v>275</v>
      </c>
    </row>
    <row r="14" spans="1:22" ht="36" customHeight="1" x14ac:dyDescent="0.35">
      <c r="A14" s="28" t="s">
        <v>176</v>
      </c>
      <c r="B14" s="28" t="s">
        <v>177</v>
      </c>
      <c r="C14" s="28" t="s">
        <v>39</v>
      </c>
      <c r="D14" s="24" t="str">
        <f t="shared" si="0"/>
        <v>Complete</v>
      </c>
      <c r="E14" s="28" t="s">
        <v>63</v>
      </c>
      <c r="F14" s="28"/>
      <c r="G14" s="28"/>
      <c r="H14" s="28" t="s">
        <v>63</v>
      </c>
      <c r="I14" s="28"/>
      <c r="J14" s="28"/>
      <c r="K14" s="28" t="s">
        <v>63</v>
      </c>
      <c r="L14" s="28"/>
      <c r="M14" s="28"/>
      <c r="N14" s="28" t="s">
        <v>63</v>
      </c>
      <c r="O14" s="28"/>
      <c r="P14" s="28"/>
      <c r="Q14" s="28" t="s">
        <v>63</v>
      </c>
      <c r="R14" s="28"/>
      <c r="S14" s="28"/>
      <c r="T14" s="28" t="s">
        <v>63</v>
      </c>
      <c r="U14" s="28"/>
      <c r="V14" s="28"/>
    </row>
    <row r="15" spans="1:22" ht="36" customHeight="1" x14ac:dyDescent="0.35">
      <c r="A15" s="29" t="s">
        <v>182</v>
      </c>
      <c r="B15" s="29" t="s">
        <v>183</v>
      </c>
      <c r="C15" s="29" t="s">
        <v>28</v>
      </c>
      <c r="D15" s="26" t="str">
        <f t="shared" si="0"/>
        <v>Incomplete</v>
      </c>
      <c r="E15" s="29" t="s">
        <v>266</v>
      </c>
      <c r="F15" s="29"/>
      <c r="G15" s="29" t="s">
        <v>281</v>
      </c>
      <c r="H15" s="29" t="s">
        <v>266</v>
      </c>
      <c r="I15" s="29"/>
      <c r="J15" s="29" t="s">
        <v>281</v>
      </c>
      <c r="K15" s="29" t="s">
        <v>266</v>
      </c>
      <c r="L15" s="29"/>
      <c r="M15" s="29" t="s">
        <v>281</v>
      </c>
      <c r="N15" s="29" t="s">
        <v>266</v>
      </c>
      <c r="O15" s="29"/>
      <c r="P15" s="29" t="s">
        <v>281</v>
      </c>
      <c r="Q15" s="29" t="s">
        <v>266</v>
      </c>
      <c r="R15" s="29"/>
      <c r="S15" s="29" t="s">
        <v>281</v>
      </c>
      <c r="T15" s="29" t="s">
        <v>266</v>
      </c>
      <c r="U15" s="29"/>
      <c r="V15" s="29" t="s">
        <v>281</v>
      </c>
    </row>
  </sheetData>
  <mergeCells count="2">
    <mergeCell ref="A1:V1"/>
    <mergeCell ref="A2:V2"/>
  </mergeCells>
  <conditionalFormatting sqref="D6:D200">
    <cfRule type="expression" dxfId="44" priority="2">
      <formula>D6="Complete"</formula>
    </cfRule>
    <cfRule type="expression" dxfId="43" priority="3">
      <formula>D6="Incomplete"</formula>
    </cfRule>
  </conditionalFormatting>
  <conditionalFormatting sqref="E6:E200">
    <cfRule type="expression" dxfId="42" priority="4">
      <formula>E6="Yes"</formula>
    </cfRule>
    <cfRule type="expression" dxfId="41" priority="5">
      <formula>E6="No"</formula>
    </cfRule>
    <cfRule type="expression" dxfId="40" priority="6">
      <formula>E6="N/A"</formula>
    </cfRule>
  </conditionalFormatting>
  <conditionalFormatting sqref="G7:G200">
    <cfRule type="expression" dxfId="39" priority="22">
      <formula>AND(ISNUMBER(G7),G7-TODAY()&lt;30)</formula>
    </cfRule>
    <cfRule type="expression" dxfId="38" priority="23">
      <formula>AND(ISNUMBER(G7),G7-TODAY()&gt;=30,G7-TODAY()&lt;90)</formula>
    </cfRule>
  </conditionalFormatting>
  <conditionalFormatting sqref="H6:H200">
    <cfRule type="expression" dxfId="37" priority="7">
      <formula>H6="Yes"</formula>
    </cfRule>
    <cfRule type="expression" dxfId="36" priority="8">
      <formula>H6="No"</formula>
    </cfRule>
    <cfRule type="expression" dxfId="35" priority="9">
      <formula>H6="N/A"</formula>
    </cfRule>
  </conditionalFormatting>
  <conditionalFormatting sqref="J6:J200">
    <cfRule type="expression" dxfId="34" priority="24">
      <formula>AND(ISNUMBER(J6),J6-TODAY()&lt;30)</formula>
    </cfRule>
    <cfRule type="expression" dxfId="33" priority="25">
      <formula>AND(ISNUMBER(J6),J6-TODAY()&gt;=30,J6-TODAY()&lt;90)</formula>
    </cfRule>
  </conditionalFormatting>
  <conditionalFormatting sqref="K6:K200">
    <cfRule type="expression" dxfId="32" priority="10">
      <formula>K6="Yes"</formula>
    </cfRule>
    <cfRule type="expression" dxfId="31" priority="11">
      <formula>K6="No"</formula>
    </cfRule>
    <cfRule type="expression" dxfId="30" priority="12">
      <formula>K6="N/A"</formula>
    </cfRule>
  </conditionalFormatting>
  <conditionalFormatting sqref="M6:M200">
    <cfRule type="expression" dxfId="29" priority="26">
      <formula>AND(ISNUMBER(M6),M6-TODAY()&lt;30)</formula>
    </cfRule>
    <cfRule type="expression" dxfId="28" priority="27">
      <formula>AND(ISNUMBER(M6),M6-TODAY()&gt;=30,M6-TODAY()&lt;90)</formula>
    </cfRule>
  </conditionalFormatting>
  <conditionalFormatting sqref="N6:N200">
    <cfRule type="expression" dxfId="27" priority="13">
      <formula>N6="Yes"</formula>
    </cfRule>
    <cfRule type="expression" dxfId="26" priority="14">
      <formula>N6="No"</formula>
    </cfRule>
    <cfRule type="expression" dxfId="25" priority="15">
      <formula>N6="N/A"</formula>
    </cfRule>
  </conditionalFormatting>
  <conditionalFormatting sqref="P6:P200">
    <cfRule type="expression" dxfId="24" priority="28">
      <formula>AND(ISNUMBER(P6),P6-TODAY()&lt;30)</formula>
    </cfRule>
    <cfRule type="expression" dxfId="23" priority="29">
      <formula>AND(ISNUMBER(P6),P6-TODAY()&gt;=30,P6-TODAY()&lt;90)</formula>
    </cfRule>
  </conditionalFormatting>
  <conditionalFormatting sqref="Q6:Q200">
    <cfRule type="expression" dxfId="22" priority="16">
      <formula>Q6="Yes"</formula>
    </cfRule>
    <cfRule type="expression" dxfId="21" priority="17">
      <formula>Q6="No"</formula>
    </cfRule>
    <cfRule type="expression" dxfId="20" priority="18">
      <formula>Q6="N/A"</formula>
    </cfRule>
  </conditionalFormatting>
  <conditionalFormatting sqref="S6:S200">
    <cfRule type="expression" dxfId="19" priority="30">
      <formula>AND(ISNUMBER(S6),S6-TODAY()&lt;30)</formula>
    </cfRule>
    <cfRule type="expression" dxfId="18" priority="31">
      <formula>AND(ISNUMBER(S6),S6-TODAY()&gt;=30,S6-TODAY()&lt;90)</formula>
    </cfRule>
  </conditionalFormatting>
  <conditionalFormatting sqref="T6:T200">
    <cfRule type="expression" dxfId="17" priority="19">
      <formula>T6="Yes"</formula>
    </cfRule>
    <cfRule type="expression" dxfId="16" priority="20">
      <formula>T6="No"</formula>
    </cfRule>
    <cfRule type="expression" dxfId="15" priority="21">
      <formula>T6="N/A"</formula>
    </cfRule>
  </conditionalFormatting>
  <conditionalFormatting sqref="V6:V200">
    <cfRule type="expression" dxfId="14" priority="32">
      <formula>AND(ISNUMBER(V6),V6-TODAY()&lt;30)</formula>
    </cfRule>
    <cfRule type="expression" dxfId="13" priority="33">
      <formula>AND(ISNUMBER(V6),V6-TODAY()&gt;=30,V6-TODAY()&lt;90)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6" customWidth="1"/>
    <col min="4" max="4" width="12" customWidth="1"/>
    <col min="5" max="5" width="14" customWidth="1"/>
    <col min="6" max="9" width="12" customWidth="1"/>
    <col min="10" max="11" width="18" customWidth="1"/>
    <col min="12" max="12" width="10" customWidth="1"/>
    <col min="13" max="13" width="12" customWidth="1"/>
    <col min="14" max="14" width="34" customWidth="1"/>
  </cols>
  <sheetData>
    <row r="1" spans="1:14" ht="36" customHeight="1" x14ac:dyDescent="0.35">
      <c r="A1" s="9" t="s">
        <v>282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75" customHeight="1" x14ac:dyDescent="0.35">
      <c r="A2" s="8" t="s">
        <v>283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48" customHeight="1" x14ac:dyDescent="0.35">
      <c r="A3" s="18" t="s">
        <v>70</v>
      </c>
      <c r="B3" s="18" t="s">
        <v>71</v>
      </c>
      <c r="C3" s="18" t="s">
        <v>284</v>
      </c>
      <c r="D3" s="18" t="s">
        <v>285</v>
      </c>
      <c r="E3" s="18" t="s">
        <v>286</v>
      </c>
      <c r="F3" s="18" t="s">
        <v>287</v>
      </c>
      <c r="G3" s="18" t="s">
        <v>288</v>
      </c>
      <c r="H3" s="18" t="s">
        <v>289</v>
      </c>
      <c r="I3" s="18" t="s">
        <v>196</v>
      </c>
      <c r="J3" s="18" t="s">
        <v>290</v>
      </c>
      <c r="K3" s="18" t="s">
        <v>291</v>
      </c>
      <c r="L3" s="18" t="s">
        <v>292</v>
      </c>
      <c r="M3" s="18" t="s">
        <v>293</v>
      </c>
      <c r="N3" s="18" t="s">
        <v>87</v>
      </c>
    </row>
    <row r="4" spans="1:14" ht="51.75" customHeight="1" x14ac:dyDescent="0.35">
      <c r="A4" s="19" t="s">
        <v>200</v>
      </c>
      <c r="B4" s="19" t="s">
        <v>89</v>
      </c>
      <c r="C4" s="19" t="s">
        <v>294</v>
      </c>
      <c r="D4" s="19" t="s">
        <v>295</v>
      </c>
      <c r="E4" s="19" t="s">
        <v>296</v>
      </c>
      <c r="F4" s="19" t="s">
        <v>95</v>
      </c>
      <c r="G4" s="19" t="s">
        <v>95</v>
      </c>
      <c r="H4" s="19" t="s">
        <v>297</v>
      </c>
      <c r="I4" s="19" t="s">
        <v>97</v>
      </c>
      <c r="J4" s="19" t="s">
        <v>298</v>
      </c>
      <c r="K4" s="19" t="s">
        <v>299</v>
      </c>
      <c r="L4" s="19" t="s">
        <v>300</v>
      </c>
      <c r="M4" s="19" t="s">
        <v>95</v>
      </c>
      <c r="N4" s="19" t="s">
        <v>105</v>
      </c>
    </row>
    <row r="5" spans="1:14" ht="36" customHeight="1" x14ac:dyDescent="0.35">
      <c r="A5" s="21" t="s">
        <v>208</v>
      </c>
      <c r="B5" s="21" t="s">
        <v>107</v>
      </c>
      <c r="C5" s="21" t="s">
        <v>301</v>
      </c>
      <c r="D5" s="21" t="s">
        <v>55</v>
      </c>
      <c r="E5" s="21" t="s">
        <v>302</v>
      </c>
      <c r="F5" s="21"/>
      <c r="G5" s="21"/>
      <c r="H5" s="21" t="s">
        <v>111</v>
      </c>
      <c r="I5" s="22" t="str">
        <f t="shared" ref="I5:I17" ca="1" si="0">IF(AND(ISNUMBER(H5),H5&lt;&gt;"Ongoing"),H5-TODAY(),"Ongoing")</f>
        <v>Ongoing</v>
      </c>
      <c r="J5" s="21" t="s">
        <v>303</v>
      </c>
      <c r="K5" s="21"/>
      <c r="L5" s="21" t="s">
        <v>266</v>
      </c>
      <c r="M5" s="21"/>
      <c r="N5" s="21"/>
    </row>
    <row r="6" spans="1:14" ht="36" customHeight="1" x14ac:dyDescent="0.35">
      <c r="A6" s="23" t="s">
        <v>114</v>
      </c>
      <c r="B6" s="23" t="s">
        <v>115</v>
      </c>
      <c r="C6" s="23" t="s">
        <v>304</v>
      </c>
      <c r="D6" s="23" t="s">
        <v>112</v>
      </c>
      <c r="E6" s="23" t="s">
        <v>302</v>
      </c>
      <c r="F6" s="23" t="s">
        <v>305</v>
      </c>
      <c r="G6" s="23" t="s">
        <v>267</v>
      </c>
      <c r="H6" s="23" t="s">
        <v>111</v>
      </c>
      <c r="I6" s="24" t="str">
        <f t="shared" ca="1" si="0"/>
        <v>Ongoing</v>
      </c>
      <c r="J6" s="23" t="s">
        <v>177</v>
      </c>
      <c r="K6" s="23" t="s">
        <v>306</v>
      </c>
      <c r="L6" s="23" t="s">
        <v>124</v>
      </c>
      <c r="M6" s="23" t="s">
        <v>187</v>
      </c>
      <c r="N6" s="23" t="s">
        <v>307</v>
      </c>
    </row>
    <row r="7" spans="1:14" ht="36" customHeight="1" x14ac:dyDescent="0.35">
      <c r="A7" s="25" t="s">
        <v>114</v>
      </c>
      <c r="B7" s="25" t="s">
        <v>115</v>
      </c>
      <c r="C7" s="25" t="s">
        <v>308</v>
      </c>
      <c r="D7" s="25" t="s">
        <v>112</v>
      </c>
      <c r="E7" s="25" t="s">
        <v>302</v>
      </c>
      <c r="F7" s="25" t="s">
        <v>305</v>
      </c>
      <c r="G7" s="25" t="s">
        <v>267</v>
      </c>
      <c r="H7" s="25" t="s">
        <v>111</v>
      </c>
      <c r="I7" s="26" t="str">
        <f t="shared" ca="1" si="0"/>
        <v>Ongoing</v>
      </c>
      <c r="J7" s="25" t="s">
        <v>177</v>
      </c>
      <c r="K7" s="25" t="s">
        <v>309</v>
      </c>
      <c r="L7" s="25" t="s">
        <v>124</v>
      </c>
      <c r="M7" s="25" t="s">
        <v>187</v>
      </c>
      <c r="N7" s="25"/>
    </row>
    <row r="8" spans="1:14" ht="36" customHeight="1" x14ac:dyDescent="0.35">
      <c r="A8" s="23" t="s">
        <v>127</v>
      </c>
      <c r="B8" s="23" t="s">
        <v>128</v>
      </c>
      <c r="C8" s="23" t="s">
        <v>304</v>
      </c>
      <c r="D8" s="23" t="s">
        <v>112</v>
      </c>
      <c r="E8" s="23" t="s">
        <v>302</v>
      </c>
      <c r="F8" s="23" t="s">
        <v>305</v>
      </c>
      <c r="G8" s="23" t="s">
        <v>267</v>
      </c>
      <c r="H8" s="23" t="s">
        <v>111</v>
      </c>
      <c r="I8" s="24" t="str">
        <f t="shared" ca="1" si="0"/>
        <v>Ongoing</v>
      </c>
      <c r="J8" s="23" t="s">
        <v>177</v>
      </c>
      <c r="K8" s="23" t="s">
        <v>310</v>
      </c>
      <c r="L8" s="23" t="s">
        <v>124</v>
      </c>
      <c r="M8" s="23" t="s">
        <v>187</v>
      </c>
      <c r="N8" s="23" t="s">
        <v>311</v>
      </c>
    </row>
    <row r="9" spans="1:14" ht="36" customHeight="1" x14ac:dyDescent="0.35">
      <c r="A9" s="25" t="s">
        <v>127</v>
      </c>
      <c r="B9" s="25" t="s">
        <v>128</v>
      </c>
      <c r="C9" s="25" t="s">
        <v>312</v>
      </c>
      <c r="D9" s="25" t="s">
        <v>112</v>
      </c>
      <c r="E9" s="25" t="s">
        <v>302</v>
      </c>
      <c r="F9" s="25" t="s">
        <v>305</v>
      </c>
      <c r="G9" s="25" t="s">
        <v>313</v>
      </c>
      <c r="H9" s="25" t="s">
        <v>111</v>
      </c>
      <c r="I9" s="26" t="str">
        <f t="shared" ca="1" si="0"/>
        <v>Ongoing</v>
      </c>
      <c r="J9" s="25" t="s">
        <v>177</v>
      </c>
      <c r="K9" s="25" t="s">
        <v>314</v>
      </c>
      <c r="L9" s="25" t="s">
        <v>124</v>
      </c>
      <c r="M9" s="25" t="s">
        <v>187</v>
      </c>
      <c r="N9" s="25" t="s">
        <v>315</v>
      </c>
    </row>
    <row r="10" spans="1:14" ht="36" customHeight="1" x14ac:dyDescent="0.35">
      <c r="A10" s="23" t="s">
        <v>136</v>
      </c>
      <c r="B10" s="23" t="s">
        <v>137</v>
      </c>
      <c r="C10" s="23" t="s">
        <v>304</v>
      </c>
      <c r="D10" s="23" t="s">
        <v>112</v>
      </c>
      <c r="E10" s="23" t="s">
        <v>302</v>
      </c>
      <c r="F10" s="23" t="s">
        <v>271</v>
      </c>
      <c r="G10" s="23" t="s">
        <v>316</v>
      </c>
      <c r="H10" s="23" t="s">
        <v>111</v>
      </c>
      <c r="I10" s="24" t="str">
        <f t="shared" ca="1" si="0"/>
        <v>Ongoing</v>
      </c>
      <c r="J10" s="23" t="s">
        <v>177</v>
      </c>
      <c r="K10" s="23" t="s">
        <v>317</v>
      </c>
      <c r="L10" s="23" t="s">
        <v>124</v>
      </c>
      <c r="M10" s="23" t="s">
        <v>187</v>
      </c>
      <c r="N10" s="23" t="s">
        <v>318</v>
      </c>
    </row>
    <row r="11" spans="1:14" ht="36" customHeight="1" x14ac:dyDescent="0.35">
      <c r="A11" s="25" t="s">
        <v>145</v>
      </c>
      <c r="B11" s="25" t="s">
        <v>146</v>
      </c>
      <c r="C11" s="25" t="s">
        <v>304</v>
      </c>
      <c r="D11" s="25" t="s">
        <v>55</v>
      </c>
      <c r="E11" s="25" t="s">
        <v>319</v>
      </c>
      <c r="F11" s="25" t="s">
        <v>320</v>
      </c>
      <c r="G11" s="25"/>
      <c r="H11" s="25"/>
      <c r="I11" s="26" t="str">
        <f t="shared" ca="1" si="0"/>
        <v>Ongoing</v>
      </c>
      <c r="J11" s="25" t="s">
        <v>177</v>
      </c>
      <c r="K11" s="25"/>
      <c r="L11" s="25" t="s">
        <v>266</v>
      </c>
      <c r="M11" s="25"/>
      <c r="N11" s="25" t="s">
        <v>321</v>
      </c>
    </row>
    <row r="12" spans="1:14" ht="36" customHeight="1" x14ac:dyDescent="0.35">
      <c r="A12" s="23" t="s">
        <v>156</v>
      </c>
      <c r="B12" s="23" t="s">
        <v>157</v>
      </c>
      <c r="C12" s="23" t="s">
        <v>304</v>
      </c>
      <c r="D12" s="23" t="s">
        <v>112</v>
      </c>
      <c r="E12" s="23" t="s">
        <v>302</v>
      </c>
      <c r="F12" s="23" t="s">
        <v>305</v>
      </c>
      <c r="G12" s="23" t="s">
        <v>267</v>
      </c>
      <c r="H12" s="23" t="s">
        <v>111</v>
      </c>
      <c r="I12" s="24" t="str">
        <f t="shared" ca="1" si="0"/>
        <v>Ongoing</v>
      </c>
      <c r="J12" s="23" t="s">
        <v>177</v>
      </c>
      <c r="K12" s="23" t="s">
        <v>322</v>
      </c>
      <c r="L12" s="23" t="s">
        <v>124</v>
      </c>
      <c r="M12" s="23" t="s">
        <v>187</v>
      </c>
      <c r="N12" s="23" t="s">
        <v>323</v>
      </c>
    </row>
    <row r="13" spans="1:14" ht="36" customHeight="1" x14ac:dyDescent="0.35">
      <c r="A13" s="25" t="s">
        <v>162</v>
      </c>
      <c r="B13" s="25" t="s">
        <v>163</v>
      </c>
      <c r="C13" s="25" t="s">
        <v>304</v>
      </c>
      <c r="D13" s="25" t="s">
        <v>112</v>
      </c>
      <c r="E13" s="25" t="s">
        <v>324</v>
      </c>
      <c r="F13" s="25" t="s">
        <v>120</v>
      </c>
      <c r="G13" s="25" t="s">
        <v>120</v>
      </c>
      <c r="H13" s="25" t="s">
        <v>111</v>
      </c>
      <c r="I13" s="26" t="str">
        <f t="shared" ca="1" si="0"/>
        <v>Ongoing</v>
      </c>
      <c r="J13" s="25" t="s">
        <v>177</v>
      </c>
      <c r="K13" s="25" t="s">
        <v>325</v>
      </c>
      <c r="L13" s="25" t="s">
        <v>124</v>
      </c>
      <c r="M13" s="25" t="s">
        <v>187</v>
      </c>
      <c r="N13" s="25" t="s">
        <v>326</v>
      </c>
    </row>
    <row r="14" spans="1:14" ht="36" customHeight="1" x14ac:dyDescent="0.35">
      <c r="A14" s="23" t="s">
        <v>167</v>
      </c>
      <c r="B14" s="23" t="s">
        <v>168</v>
      </c>
      <c r="C14" s="23" t="s">
        <v>304</v>
      </c>
      <c r="D14" s="23" t="s">
        <v>112</v>
      </c>
      <c r="E14" s="23" t="s">
        <v>302</v>
      </c>
      <c r="F14" s="23" t="s">
        <v>120</v>
      </c>
      <c r="G14" s="23" t="s">
        <v>305</v>
      </c>
      <c r="H14" s="23" t="s">
        <v>111</v>
      </c>
      <c r="I14" s="24" t="str">
        <f t="shared" ca="1" si="0"/>
        <v>Ongoing</v>
      </c>
      <c r="J14" s="23" t="s">
        <v>177</v>
      </c>
      <c r="K14" s="23" t="s">
        <v>327</v>
      </c>
      <c r="L14" s="23" t="s">
        <v>124</v>
      </c>
      <c r="M14" s="23" t="s">
        <v>187</v>
      </c>
      <c r="N14" s="23"/>
    </row>
    <row r="15" spans="1:14" ht="36" customHeight="1" x14ac:dyDescent="0.35">
      <c r="A15" s="25" t="s">
        <v>170</v>
      </c>
      <c r="B15" s="25" t="s">
        <v>171</v>
      </c>
      <c r="C15" s="25" t="s">
        <v>304</v>
      </c>
      <c r="D15" s="25" t="s">
        <v>55</v>
      </c>
      <c r="E15" s="25" t="s">
        <v>302</v>
      </c>
      <c r="F15" s="25" t="s">
        <v>328</v>
      </c>
      <c r="G15" s="25"/>
      <c r="H15" s="25"/>
      <c r="I15" s="26" t="str">
        <f t="shared" ca="1" si="0"/>
        <v>Ongoing</v>
      </c>
      <c r="J15" s="25" t="s">
        <v>177</v>
      </c>
      <c r="K15" s="25"/>
      <c r="L15" s="25" t="s">
        <v>266</v>
      </c>
      <c r="M15" s="25"/>
      <c r="N15" s="25" t="s">
        <v>329</v>
      </c>
    </row>
    <row r="16" spans="1:14" ht="36" customHeight="1" x14ac:dyDescent="0.35">
      <c r="A16" s="23" t="s">
        <v>176</v>
      </c>
      <c r="B16" s="23" t="s">
        <v>177</v>
      </c>
      <c r="C16" s="23" t="s">
        <v>304</v>
      </c>
      <c r="D16" s="23" t="s">
        <v>112</v>
      </c>
      <c r="E16" s="23" t="s">
        <v>324</v>
      </c>
      <c r="F16" s="23" t="s">
        <v>142</v>
      </c>
      <c r="G16" s="23" t="s">
        <v>142</v>
      </c>
      <c r="H16" s="23" t="s">
        <v>111</v>
      </c>
      <c r="I16" s="24" t="str">
        <f t="shared" ca="1" si="0"/>
        <v>Ongoing</v>
      </c>
      <c r="J16" s="23" t="s">
        <v>39</v>
      </c>
      <c r="K16" s="23" t="s">
        <v>330</v>
      </c>
      <c r="L16" s="23" t="s">
        <v>124</v>
      </c>
      <c r="M16" s="23" t="s">
        <v>187</v>
      </c>
      <c r="N16" s="23" t="s">
        <v>331</v>
      </c>
    </row>
    <row r="17" spans="1:14" ht="36" customHeight="1" x14ac:dyDescent="0.35">
      <c r="A17" s="25" t="s">
        <v>182</v>
      </c>
      <c r="B17" s="25" t="s">
        <v>183</v>
      </c>
      <c r="C17" s="25" t="s">
        <v>304</v>
      </c>
      <c r="D17" s="25" t="s">
        <v>55</v>
      </c>
      <c r="E17" s="25" t="s">
        <v>319</v>
      </c>
      <c r="F17" s="25" t="s">
        <v>332</v>
      </c>
      <c r="G17" s="25"/>
      <c r="H17" s="25"/>
      <c r="I17" s="26" t="str">
        <f t="shared" ca="1" si="0"/>
        <v>Ongoing</v>
      </c>
      <c r="J17" s="25" t="s">
        <v>177</v>
      </c>
      <c r="K17" s="25"/>
      <c r="L17" s="25" t="s">
        <v>266</v>
      </c>
      <c r="M17" s="25"/>
      <c r="N17" s="25" t="s">
        <v>333</v>
      </c>
    </row>
  </sheetData>
  <mergeCells count="2">
    <mergeCell ref="A1:N1"/>
    <mergeCell ref="A2:N2"/>
  </mergeCells>
  <conditionalFormatting sqref="D6:D200">
    <cfRule type="expression" dxfId="12" priority="2">
      <formula>D6="Active"</formula>
    </cfRule>
    <cfRule type="expression" dxfId="11" priority="3">
      <formula>D6="Pending"</formula>
    </cfRule>
    <cfRule type="expression" dxfId="10" priority="4">
      <formula>OR(D6="Revoked",D6="Expired")</formula>
    </cfRule>
  </conditionalFormatting>
  <conditionalFormatting sqref="L6:L200">
    <cfRule type="expression" dxfId="9" priority="5">
      <formula>L6="Yes"</formula>
    </cfRule>
    <cfRule type="expression" dxfId="8" priority="6">
      <formula>L6="No"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6" customWidth="1"/>
    <col min="4" max="4" width="12" customWidth="1"/>
    <col min="5" max="7" width="14" customWidth="1"/>
    <col min="8" max="9" width="12" customWidth="1"/>
    <col min="10" max="10" width="32" customWidth="1"/>
    <col min="11" max="11" width="20" customWidth="1"/>
    <col min="12" max="12" width="14" customWidth="1"/>
    <col min="13" max="13" width="34" customWidth="1"/>
  </cols>
  <sheetData>
    <row r="1" spans="1:13" ht="36" customHeight="1" x14ac:dyDescent="0.35">
      <c r="A1" s="9" t="s">
        <v>334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.75" customHeight="1" x14ac:dyDescent="0.35">
      <c r="A2" s="8" t="s">
        <v>335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48" customHeight="1" x14ac:dyDescent="0.35">
      <c r="A3" s="18" t="s">
        <v>70</v>
      </c>
      <c r="B3" s="18" t="s">
        <v>71</v>
      </c>
      <c r="C3" s="18" t="s">
        <v>336</v>
      </c>
      <c r="D3" s="18" t="s">
        <v>84</v>
      </c>
      <c r="E3" s="18" t="s">
        <v>337</v>
      </c>
      <c r="F3" s="18" t="s">
        <v>195</v>
      </c>
      <c r="G3" s="18" t="s">
        <v>196</v>
      </c>
      <c r="H3" s="18" t="s">
        <v>338</v>
      </c>
      <c r="I3" s="18" t="s">
        <v>339</v>
      </c>
      <c r="J3" s="18" t="s">
        <v>340</v>
      </c>
      <c r="K3" s="18" t="s">
        <v>341</v>
      </c>
      <c r="L3" s="18" t="s">
        <v>342</v>
      </c>
      <c r="M3" s="18" t="s">
        <v>87</v>
      </c>
    </row>
    <row r="4" spans="1:13" ht="51.75" customHeight="1" x14ac:dyDescent="0.35">
      <c r="A4" s="19" t="s">
        <v>200</v>
      </c>
      <c r="B4" s="19" t="s">
        <v>89</v>
      </c>
      <c r="C4" s="19" t="s">
        <v>343</v>
      </c>
      <c r="D4" s="19" t="s">
        <v>344</v>
      </c>
      <c r="E4" s="19" t="s">
        <v>345</v>
      </c>
      <c r="F4" s="19" t="s">
        <v>346</v>
      </c>
      <c r="G4" s="19" t="s">
        <v>97</v>
      </c>
      <c r="H4" s="19" t="s">
        <v>300</v>
      </c>
      <c r="I4" s="19" t="s">
        <v>300</v>
      </c>
      <c r="J4" s="19" t="s">
        <v>347</v>
      </c>
      <c r="K4" s="19" t="s">
        <v>348</v>
      </c>
      <c r="L4" s="19" t="s">
        <v>300</v>
      </c>
      <c r="M4" s="19" t="s">
        <v>105</v>
      </c>
    </row>
    <row r="5" spans="1:13" ht="36" customHeight="1" x14ac:dyDescent="0.35">
      <c r="A5" s="21" t="s">
        <v>208</v>
      </c>
      <c r="B5" s="21" t="s">
        <v>107</v>
      </c>
      <c r="C5" s="21" t="s">
        <v>349</v>
      </c>
      <c r="D5" s="21" t="s">
        <v>55</v>
      </c>
      <c r="E5" s="21"/>
      <c r="F5" s="21"/>
      <c r="G5" s="22" t="str">
        <f ca="1">IF(AND(H5="No",ISNUMBER(F5)),F5-TODAY(),"—")</f>
        <v>—</v>
      </c>
      <c r="H5" s="21" t="s">
        <v>266</v>
      </c>
      <c r="I5" s="21" t="s">
        <v>266</v>
      </c>
      <c r="J5" s="21" t="s">
        <v>350</v>
      </c>
      <c r="K5" s="21" t="s">
        <v>351</v>
      </c>
      <c r="L5" s="21" t="s">
        <v>266</v>
      </c>
      <c r="M5" s="21"/>
    </row>
    <row r="6" spans="1:13" ht="36" customHeight="1" x14ac:dyDescent="0.35">
      <c r="A6" s="23" t="s">
        <v>114</v>
      </c>
      <c r="B6" s="23" t="s">
        <v>115</v>
      </c>
      <c r="C6" s="23" t="s">
        <v>349</v>
      </c>
      <c r="D6" s="23" t="s">
        <v>124</v>
      </c>
      <c r="E6" s="23" t="s">
        <v>120</v>
      </c>
      <c r="F6" s="23"/>
      <c r="G6" s="24" t="str">
        <f t="shared" ref="G6:G15" ca="1" si="0">IF(OR(H6="Yes",NOT(ISNUMBER(F6))),"Indefinite",F6-TODAY())</f>
        <v>Indefinite</v>
      </c>
      <c r="H6" s="23" t="s">
        <v>124</v>
      </c>
      <c r="I6" s="23" t="s">
        <v>124</v>
      </c>
      <c r="J6" s="23" t="s">
        <v>352</v>
      </c>
      <c r="K6" s="23" t="s">
        <v>353</v>
      </c>
      <c r="L6" s="23" t="s">
        <v>266</v>
      </c>
      <c r="M6" s="23" t="s">
        <v>354</v>
      </c>
    </row>
    <row r="7" spans="1:13" ht="36" customHeight="1" x14ac:dyDescent="0.35">
      <c r="A7" s="25" t="s">
        <v>127</v>
      </c>
      <c r="B7" s="25" t="s">
        <v>128</v>
      </c>
      <c r="C7" s="25" t="s">
        <v>349</v>
      </c>
      <c r="D7" s="25" t="s">
        <v>124</v>
      </c>
      <c r="E7" s="25" t="s">
        <v>120</v>
      </c>
      <c r="F7" s="25"/>
      <c r="G7" s="26" t="str">
        <f t="shared" ca="1" si="0"/>
        <v>Indefinite</v>
      </c>
      <c r="H7" s="25" t="s">
        <v>124</v>
      </c>
      <c r="I7" s="25" t="s">
        <v>124</v>
      </c>
      <c r="J7" s="25" t="s">
        <v>355</v>
      </c>
      <c r="K7" s="25" t="s">
        <v>353</v>
      </c>
      <c r="L7" s="25" t="s">
        <v>266</v>
      </c>
      <c r="M7" s="25" t="s">
        <v>356</v>
      </c>
    </row>
    <row r="8" spans="1:13" ht="36" customHeight="1" x14ac:dyDescent="0.35">
      <c r="A8" s="23" t="s">
        <v>136</v>
      </c>
      <c r="B8" s="23" t="s">
        <v>137</v>
      </c>
      <c r="C8" s="23" t="s">
        <v>349</v>
      </c>
      <c r="D8" s="23" t="s">
        <v>124</v>
      </c>
      <c r="E8" s="23" t="s">
        <v>142</v>
      </c>
      <c r="F8" s="23"/>
      <c r="G8" s="24" t="str">
        <f t="shared" ca="1" si="0"/>
        <v>Indefinite</v>
      </c>
      <c r="H8" s="23" t="s">
        <v>124</v>
      </c>
      <c r="I8" s="23" t="s">
        <v>124</v>
      </c>
      <c r="J8" s="23" t="s">
        <v>357</v>
      </c>
      <c r="K8" s="23" t="s">
        <v>353</v>
      </c>
      <c r="L8" s="23" t="s">
        <v>266</v>
      </c>
      <c r="M8" s="23" t="s">
        <v>358</v>
      </c>
    </row>
    <row r="9" spans="1:13" ht="36" customHeight="1" x14ac:dyDescent="0.35">
      <c r="A9" s="25" t="s">
        <v>145</v>
      </c>
      <c r="B9" s="25" t="s">
        <v>146</v>
      </c>
      <c r="C9" s="25" t="s">
        <v>349</v>
      </c>
      <c r="D9" s="25" t="s">
        <v>124</v>
      </c>
      <c r="E9" s="25" t="s">
        <v>152</v>
      </c>
      <c r="F9" s="25"/>
      <c r="G9" s="26" t="str">
        <f t="shared" ca="1" si="0"/>
        <v>Indefinite</v>
      </c>
      <c r="H9" s="25" t="s">
        <v>124</v>
      </c>
      <c r="I9" s="25" t="s">
        <v>124</v>
      </c>
      <c r="J9" s="25" t="s">
        <v>359</v>
      </c>
      <c r="K9" s="25" t="s">
        <v>353</v>
      </c>
      <c r="L9" s="25" t="s">
        <v>266</v>
      </c>
      <c r="M9" s="25" t="s">
        <v>360</v>
      </c>
    </row>
    <row r="10" spans="1:13" ht="36" customHeight="1" x14ac:dyDescent="0.35">
      <c r="A10" s="23" t="s">
        <v>156</v>
      </c>
      <c r="B10" s="23" t="s">
        <v>157</v>
      </c>
      <c r="C10" s="23" t="s">
        <v>349</v>
      </c>
      <c r="D10" s="23" t="s">
        <v>124</v>
      </c>
      <c r="E10" s="23" t="s">
        <v>120</v>
      </c>
      <c r="F10" s="23"/>
      <c r="G10" s="24" t="str">
        <f t="shared" ca="1" si="0"/>
        <v>Indefinite</v>
      </c>
      <c r="H10" s="23" t="s">
        <v>124</v>
      </c>
      <c r="I10" s="23" t="s">
        <v>124</v>
      </c>
      <c r="J10" s="23" t="s">
        <v>361</v>
      </c>
      <c r="K10" s="23" t="s">
        <v>353</v>
      </c>
      <c r="L10" s="23" t="s">
        <v>266</v>
      </c>
      <c r="M10" s="23" t="s">
        <v>362</v>
      </c>
    </row>
    <row r="11" spans="1:13" ht="36" customHeight="1" x14ac:dyDescent="0.35">
      <c r="A11" s="25" t="s">
        <v>162</v>
      </c>
      <c r="B11" s="25" t="s">
        <v>163</v>
      </c>
      <c r="C11" s="25" t="s">
        <v>349</v>
      </c>
      <c r="D11" s="25" t="s">
        <v>124</v>
      </c>
      <c r="E11" s="25" t="s">
        <v>271</v>
      </c>
      <c r="F11" s="25"/>
      <c r="G11" s="26" t="str">
        <f t="shared" ca="1" si="0"/>
        <v>Indefinite</v>
      </c>
      <c r="H11" s="25" t="s">
        <v>124</v>
      </c>
      <c r="I11" s="25" t="s">
        <v>124</v>
      </c>
      <c r="J11" s="25" t="s">
        <v>363</v>
      </c>
      <c r="K11" s="25" t="s">
        <v>353</v>
      </c>
      <c r="L11" s="25" t="s">
        <v>266</v>
      </c>
      <c r="M11" s="25" t="s">
        <v>364</v>
      </c>
    </row>
    <row r="12" spans="1:13" ht="36" customHeight="1" x14ac:dyDescent="0.35">
      <c r="A12" s="23" t="s">
        <v>167</v>
      </c>
      <c r="B12" s="23" t="s">
        <v>168</v>
      </c>
      <c r="C12" s="23" t="s">
        <v>349</v>
      </c>
      <c r="D12" s="23" t="s">
        <v>124</v>
      </c>
      <c r="E12" s="23" t="s">
        <v>271</v>
      </c>
      <c r="F12" s="23"/>
      <c r="G12" s="24" t="str">
        <f t="shared" ca="1" si="0"/>
        <v>Indefinite</v>
      </c>
      <c r="H12" s="23" t="s">
        <v>124</v>
      </c>
      <c r="I12" s="23" t="s">
        <v>124</v>
      </c>
      <c r="J12" s="23" t="s">
        <v>365</v>
      </c>
      <c r="K12" s="23" t="s">
        <v>353</v>
      </c>
      <c r="L12" s="23" t="s">
        <v>266</v>
      </c>
      <c r="M12" s="23" t="s">
        <v>364</v>
      </c>
    </row>
    <row r="13" spans="1:13" ht="36" customHeight="1" x14ac:dyDescent="0.35">
      <c r="A13" s="25" t="s">
        <v>170</v>
      </c>
      <c r="B13" s="25" t="s">
        <v>171</v>
      </c>
      <c r="C13" s="25" t="s">
        <v>349</v>
      </c>
      <c r="D13" s="25" t="s">
        <v>124</v>
      </c>
      <c r="E13" s="25" t="s">
        <v>174</v>
      </c>
      <c r="F13" s="25"/>
      <c r="G13" s="26" t="str">
        <f t="shared" ca="1" si="0"/>
        <v>Indefinite</v>
      </c>
      <c r="H13" s="25" t="s">
        <v>124</v>
      </c>
      <c r="I13" s="25" t="s">
        <v>124</v>
      </c>
      <c r="J13" s="25" t="s">
        <v>366</v>
      </c>
      <c r="K13" s="25" t="s">
        <v>353</v>
      </c>
      <c r="L13" s="25" t="s">
        <v>266</v>
      </c>
      <c r="M13" s="25" t="s">
        <v>367</v>
      </c>
    </row>
    <row r="14" spans="1:13" ht="36" customHeight="1" x14ac:dyDescent="0.35">
      <c r="A14" s="23" t="s">
        <v>176</v>
      </c>
      <c r="B14" s="23" t="s">
        <v>177</v>
      </c>
      <c r="C14" s="23" t="s">
        <v>349</v>
      </c>
      <c r="D14" s="23" t="s">
        <v>63</v>
      </c>
      <c r="E14" s="23"/>
      <c r="F14" s="23"/>
      <c r="G14" s="24" t="str">
        <f t="shared" ca="1" si="0"/>
        <v>Indefinite</v>
      </c>
      <c r="H14" s="23" t="s">
        <v>266</v>
      </c>
      <c r="I14" s="23" t="s">
        <v>266</v>
      </c>
      <c r="J14" s="23"/>
      <c r="K14" s="23"/>
      <c r="L14" s="23" t="s">
        <v>266</v>
      </c>
      <c r="M14" s="23" t="s">
        <v>368</v>
      </c>
    </row>
    <row r="15" spans="1:13" ht="36" customHeight="1" x14ac:dyDescent="0.35">
      <c r="A15" s="25" t="s">
        <v>182</v>
      </c>
      <c r="B15" s="25" t="s">
        <v>183</v>
      </c>
      <c r="C15" s="25" t="s">
        <v>349</v>
      </c>
      <c r="D15" s="25" t="s">
        <v>55</v>
      </c>
      <c r="E15" s="25"/>
      <c r="F15" s="25"/>
      <c r="G15" s="26" t="str">
        <f t="shared" ca="1" si="0"/>
        <v>Indefinite</v>
      </c>
      <c r="H15" s="25" t="s">
        <v>266</v>
      </c>
      <c r="I15" s="25" t="s">
        <v>266</v>
      </c>
      <c r="J15" s="25"/>
      <c r="K15" s="25" t="s">
        <v>353</v>
      </c>
      <c r="L15" s="25" t="s">
        <v>266</v>
      </c>
      <c r="M15" s="25" t="s">
        <v>369</v>
      </c>
    </row>
  </sheetData>
  <mergeCells count="2">
    <mergeCell ref="A1:M1"/>
    <mergeCell ref="A2:M2"/>
  </mergeCells>
  <conditionalFormatting sqref="D6:D200">
    <cfRule type="expression" dxfId="7" priority="2">
      <formula>D6="Yes"</formula>
    </cfRule>
    <cfRule type="expression" dxfId="6" priority="3">
      <formula>D6="Pending"</formula>
    </cfRule>
    <cfRule type="expression" dxfId="5" priority="4">
      <formula>D6="Expired"</formula>
    </cfRule>
    <cfRule type="expression" dxfId="4" priority="5">
      <formula>D6="No"</formula>
    </cfRule>
  </conditionalFormatting>
  <conditionalFormatting sqref="G6:G200">
    <cfRule type="expression" dxfId="3" priority="8">
      <formula>AND(ISNUMBER(G6),G6&lt;30)</formula>
    </cfRule>
    <cfRule type="expression" dxfId="2" priority="9">
      <formula>AND(ISNUMBER(G6),G6&gt;=30,G6&lt;90)</formula>
    </cfRule>
  </conditionalFormatting>
  <conditionalFormatting sqref="I6:I200">
    <cfRule type="expression" dxfId="1" priority="6">
      <formula>I6="Yes"</formula>
    </cfRule>
    <cfRule type="expression" dxfId="0" priority="7">
      <formula>I6="No"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2" width="22" customWidth="1"/>
    <col min="3" max="3" width="14" customWidth="1"/>
    <col min="4" max="5" width="16" customWidth="1"/>
    <col min="6" max="6" width="14" customWidth="1"/>
  </cols>
  <sheetData>
    <row r="1" spans="1:6" ht="36" customHeight="1" x14ac:dyDescent="0.35">
      <c r="A1" s="9" t="s">
        <v>370</v>
      </c>
      <c r="B1" s="9"/>
      <c r="C1" s="9"/>
      <c r="D1" s="9"/>
      <c r="E1" s="9"/>
      <c r="F1" s="9"/>
    </row>
    <row r="2" spans="1:6" ht="21.75" customHeight="1" x14ac:dyDescent="0.35">
      <c r="A2" s="8" t="s">
        <v>371</v>
      </c>
      <c r="B2" s="8"/>
      <c r="C2" s="8"/>
      <c r="D2" s="8"/>
      <c r="E2" s="8"/>
      <c r="F2" s="8"/>
    </row>
    <row r="4" spans="1:6" ht="24" customHeight="1" x14ac:dyDescent="0.35">
      <c r="A4" s="6" t="s">
        <v>372</v>
      </c>
      <c r="B4" s="6"/>
      <c r="C4" s="6"/>
      <c r="D4" s="6"/>
      <c r="E4" s="6"/>
      <c r="F4" s="6"/>
    </row>
    <row r="5" spans="1:6" ht="27.75" customHeight="1" x14ac:dyDescent="0.35">
      <c r="A5" s="18" t="s">
        <v>373</v>
      </c>
      <c r="B5" s="18" t="s">
        <v>374</v>
      </c>
      <c r="C5" s="18" t="s">
        <v>375</v>
      </c>
      <c r="D5" s="18"/>
      <c r="E5" s="18"/>
      <c r="F5" s="18"/>
    </row>
    <row r="6" spans="1:6" ht="24" customHeight="1" x14ac:dyDescent="0.35">
      <c r="A6" s="30" t="s">
        <v>376</v>
      </c>
      <c r="B6" s="26">
        <f>COUNTA('Personnel Register'!A6:A200)</f>
        <v>10</v>
      </c>
      <c r="C6" s="25"/>
      <c r="D6" s="5"/>
      <c r="E6" s="5"/>
      <c r="F6" s="5"/>
    </row>
    <row r="7" spans="1:6" ht="24" customHeight="1" x14ac:dyDescent="0.35">
      <c r="A7" s="31" t="s">
        <v>377</v>
      </c>
      <c r="B7" s="32">
        <f>COUNTIF('Personnel Register'!K6:K200,"Active")</f>
        <v>10</v>
      </c>
      <c r="C7" s="33">
        <f>IFERROR(B7/B6,0)</f>
        <v>1</v>
      </c>
      <c r="D7" s="4"/>
      <c r="E7" s="4"/>
      <c r="F7" s="4"/>
    </row>
    <row r="8" spans="1:6" ht="24" customHeight="1" x14ac:dyDescent="0.35">
      <c r="A8" s="34" t="s">
        <v>378</v>
      </c>
      <c r="B8" s="35">
        <f>COUNTIF('Personnel Register'!K6:K200,"Onboarding")</f>
        <v>0</v>
      </c>
      <c r="C8" s="36">
        <f>IFERROR(B8/B6,0)</f>
        <v>0</v>
      </c>
      <c r="D8" s="3"/>
      <c r="E8" s="3"/>
      <c r="F8" s="3"/>
    </row>
    <row r="9" spans="1:6" ht="24" customHeight="1" x14ac:dyDescent="0.35">
      <c r="A9" s="31" t="s">
        <v>379</v>
      </c>
      <c r="B9" s="32">
        <f>COUNTIF('Personnel Register'!P6:P200,"✅ Compliant")</f>
        <v>7</v>
      </c>
      <c r="C9" s="33">
        <f>IFERROR(B9/B6,0)</f>
        <v>0.7</v>
      </c>
      <c r="D9" s="4"/>
      <c r="E9" s="4"/>
      <c r="F9" s="4"/>
    </row>
    <row r="10" spans="1:6" ht="24" customHeight="1" x14ac:dyDescent="0.35">
      <c r="A10" s="37" t="s">
        <v>380</v>
      </c>
      <c r="B10" s="38">
        <f>COUNTIF('Personnel Register'!P6:P200,"⚠️ Action Required")</f>
        <v>3</v>
      </c>
      <c r="C10" s="39">
        <f>IFERROR(B10/B6,0)</f>
        <v>0.3</v>
      </c>
      <c r="D10" s="2"/>
      <c r="E10" s="2"/>
      <c r="F10" s="2"/>
    </row>
    <row r="11" spans="1:6" ht="24" customHeight="1" x14ac:dyDescent="0.35">
      <c r="A11" s="31" t="s">
        <v>381</v>
      </c>
      <c r="B11" s="32">
        <f>COUNTIF('CAC &amp; Identity'!D6:D200,"Current")</f>
        <v>7</v>
      </c>
      <c r="C11" s="33">
        <f>IFERROR(B11/B6,0)</f>
        <v>0.7</v>
      </c>
      <c r="D11" s="4"/>
      <c r="E11" s="4"/>
      <c r="F11" s="4"/>
    </row>
    <row r="12" spans="1:6" ht="24" customHeight="1" x14ac:dyDescent="0.35">
      <c r="A12" s="34" t="s">
        <v>382</v>
      </c>
      <c r="B12" s="35">
        <f>COUNTIF('CAC &amp; Identity'!D6:D200,"Pending")+COUNTIF('CAC &amp; Identity'!D6:D200,"Expired")</f>
        <v>3</v>
      </c>
      <c r="C12" s="36">
        <f>IFERROR(B12/B6,0)</f>
        <v>0.3</v>
      </c>
      <c r="D12" s="3"/>
      <c r="E12" s="3"/>
      <c r="F12" s="3"/>
    </row>
    <row r="13" spans="1:6" ht="24" customHeight="1" x14ac:dyDescent="0.35">
      <c r="A13" s="31" t="s">
        <v>383</v>
      </c>
      <c r="B13" s="32">
        <f>COUNTIF('Annual Training'!D6:D200,"Complete")</f>
        <v>7</v>
      </c>
      <c r="C13" s="33">
        <f>IFERROR(B13/B6,0)</f>
        <v>0.7</v>
      </c>
      <c r="D13" s="4"/>
      <c r="E13" s="4"/>
      <c r="F13" s="4"/>
    </row>
    <row r="14" spans="1:6" ht="24" customHeight="1" x14ac:dyDescent="0.35">
      <c r="A14" s="37" t="s">
        <v>384</v>
      </c>
      <c r="B14" s="38">
        <f>COUNTIF('Annual Training'!D6:D200,"Incomplete")</f>
        <v>3</v>
      </c>
      <c r="C14" s="39">
        <f>IFERROR(B14/B6,0)</f>
        <v>0.3</v>
      </c>
      <c r="D14" s="2"/>
      <c r="E14" s="2"/>
      <c r="F14" s="2"/>
    </row>
    <row r="15" spans="1:6" ht="24" customHeight="1" x14ac:dyDescent="0.35">
      <c r="A15" s="31" t="s">
        <v>385</v>
      </c>
      <c r="B15" s="32">
        <f>COUNTIF('System Access'!D6:D200,"Active")</f>
        <v>9</v>
      </c>
      <c r="C15" s="33">
        <f>IFERROR(B15/B6,0)</f>
        <v>0.9</v>
      </c>
      <c r="D15" s="4"/>
      <c r="E15" s="4"/>
      <c r="F15" s="4"/>
    </row>
    <row r="16" spans="1:6" ht="24" customHeight="1" x14ac:dyDescent="0.35">
      <c r="A16" s="34" t="s">
        <v>386</v>
      </c>
      <c r="B16" s="35">
        <f>COUNTIF('System Access'!D6:D200,"Pending")</f>
        <v>3</v>
      </c>
      <c r="C16" s="36">
        <f>IFERROR(B16/B6,0)</f>
        <v>0.3</v>
      </c>
      <c r="D16" s="3"/>
      <c r="E16" s="3"/>
      <c r="F16" s="3"/>
    </row>
    <row r="17" spans="1:6" ht="24" customHeight="1" x14ac:dyDescent="0.35">
      <c r="A17" s="31" t="s">
        <v>387</v>
      </c>
      <c r="B17" s="32">
        <f>COUNTIF('NDA &amp; Agreements'!D6:D200,"Yes")</f>
        <v>8</v>
      </c>
      <c r="C17" s="33">
        <f>IFERROR(B17/B6,0)</f>
        <v>0.8</v>
      </c>
      <c r="D17" s="4"/>
      <c r="E17" s="4"/>
      <c r="F17" s="4"/>
    </row>
    <row r="18" spans="1:6" ht="24" customHeight="1" x14ac:dyDescent="0.35">
      <c r="A18" s="37" t="s">
        <v>388</v>
      </c>
      <c r="B18" s="38">
        <f>COUNTIF('NDA &amp; Agreements'!D6:D200,"Pending")+COUNTIF('NDA &amp; Agreements'!D6:D200,"No")</f>
        <v>1</v>
      </c>
      <c r="C18" s="39">
        <f>IFERROR(B18/B6,0)</f>
        <v>0.1</v>
      </c>
      <c r="D18" s="2"/>
      <c r="E18" s="2"/>
      <c r="F18" s="2"/>
    </row>
    <row r="19" spans="1:6" ht="24" customHeight="1" x14ac:dyDescent="0.35">
      <c r="A19" s="31" t="s">
        <v>389</v>
      </c>
      <c r="B19" s="33">
        <f>IFERROR(COUNTIF('Personnel Register'!P6:P200,"✅ Compliant")/COUNTA('Personnel Register'!A6:A200),0)</f>
        <v>0.7</v>
      </c>
      <c r="C19" s="33">
        <f>IFERROR(B19/B6,0)</f>
        <v>6.9999999999999993E-2</v>
      </c>
      <c r="D19" s="4"/>
      <c r="E19" s="4"/>
      <c r="F19" s="4"/>
    </row>
    <row r="21" spans="1:6" ht="24" customHeight="1" x14ac:dyDescent="0.35">
      <c r="A21" s="6" t="s">
        <v>390</v>
      </c>
      <c r="B21" s="6"/>
      <c r="C21" s="6"/>
      <c r="D21" s="6"/>
      <c r="E21" s="6"/>
      <c r="F21" s="6"/>
    </row>
    <row r="22" spans="1:6" ht="36" customHeight="1" x14ac:dyDescent="0.35">
      <c r="A22" s="18" t="s">
        <v>391</v>
      </c>
      <c r="B22" s="18" t="s">
        <v>392</v>
      </c>
      <c r="C22" s="18" t="s">
        <v>393</v>
      </c>
      <c r="D22" s="18" t="s">
        <v>394</v>
      </c>
      <c r="E22" s="18" t="s">
        <v>395</v>
      </c>
      <c r="F22" s="18" t="s">
        <v>396</v>
      </c>
    </row>
    <row r="23" spans="1:6" ht="24" customHeight="1" x14ac:dyDescent="0.35">
      <c r="A23" s="23" t="s">
        <v>165</v>
      </c>
      <c r="B23" s="24">
        <f>COUNTIF('Personnel Register'!F6:F200,A23)</f>
        <v>3</v>
      </c>
      <c r="C23" s="24">
        <f>COUNTIFS('Personnel Register'!F6:F200,A23,'Personnel Register'!P6:P200,"✅ Compliant")</f>
        <v>3</v>
      </c>
      <c r="D23" s="24">
        <f>COUNTIFS('CAC &amp; Identity'!C6:C200,"&lt;&gt;Government",'CAC &amp; Identity'!D6:D200,"Current")</f>
        <v>6</v>
      </c>
      <c r="E23" s="24">
        <f>COUNTIF('Annual Training'!D6:D200,"Complete")</f>
        <v>7</v>
      </c>
      <c r="F23" s="24">
        <f>COUNTIF('NDA &amp; Agreements'!D6:D200,"Yes")</f>
        <v>8</v>
      </c>
    </row>
    <row r="24" spans="1:6" ht="24" customHeight="1" x14ac:dyDescent="0.35">
      <c r="A24" s="25" t="s">
        <v>118</v>
      </c>
      <c r="B24" s="26">
        <f>COUNTIF('Personnel Register'!F6:F200,A24)</f>
        <v>3</v>
      </c>
      <c r="C24" s="26">
        <f>COUNTIFS('Personnel Register'!F6:F200,A24,'Personnel Register'!P6:P200,"✅ Compliant")</f>
        <v>2</v>
      </c>
      <c r="D24" s="26">
        <f>COUNTIFS('CAC &amp; Identity'!C6:C200,"&lt;&gt;Government",'CAC &amp; Identity'!D6:D200,"Current")</f>
        <v>6</v>
      </c>
      <c r="E24" s="26">
        <f>COUNTIF('Annual Training'!D6:D200,"Complete")</f>
        <v>7</v>
      </c>
      <c r="F24" s="26">
        <f>COUNTIF('NDA &amp; Agreements'!D6:D200,"Yes")</f>
        <v>8</v>
      </c>
    </row>
    <row r="25" spans="1:6" ht="24" customHeight="1" x14ac:dyDescent="0.35">
      <c r="A25" s="23" t="s">
        <v>131</v>
      </c>
      <c r="B25" s="24">
        <f>COUNTIF('Personnel Register'!F6:F200,A25)</f>
        <v>1</v>
      </c>
      <c r="C25" s="24">
        <f>COUNTIFS('Personnel Register'!F6:F200,A25,'Personnel Register'!P6:P200,"✅ Compliant")</f>
        <v>1</v>
      </c>
      <c r="D25" s="24">
        <f>COUNTIFS('CAC &amp; Identity'!C6:C200,"&lt;&gt;Government",'CAC &amp; Identity'!D6:D200,"Current")</f>
        <v>6</v>
      </c>
      <c r="E25" s="24">
        <f>COUNTIF('Annual Training'!D6:D200,"Complete")</f>
        <v>7</v>
      </c>
      <c r="F25" s="24">
        <f>COUNTIF('NDA &amp; Agreements'!D6:D200,"Yes")</f>
        <v>8</v>
      </c>
    </row>
    <row r="26" spans="1:6" ht="24" customHeight="1" x14ac:dyDescent="0.35">
      <c r="A26" s="25" t="s">
        <v>140</v>
      </c>
      <c r="B26" s="26">
        <f>COUNTIF('Personnel Register'!F6:F200,A26)</f>
        <v>1</v>
      </c>
      <c r="C26" s="26">
        <f>COUNTIFS('Personnel Register'!F6:F200,A26,'Personnel Register'!P6:P200,"✅ Compliant")</f>
        <v>1</v>
      </c>
      <c r="D26" s="26">
        <f>COUNTIFS('CAC &amp; Identity'!C6:C200,"&lt;&gt;Government",'CAC &amp; Identity'!D6:D200,"Current")</f>
        <v>6</v>
      </c>
      <c r="E26" s="26">
        <f>COUNTIF('Annual Training'!D6:D200,"Complete")</f>
        <v>7</v>
      </c>
      <c r="F26" s="26">
        <f>COUNTIF('NDA &amp; Agreements'!D6:D200,"Yes")</f>
        <v>8</v>
      </c>
    </row>
    <row r="27" spans="1:6" ht="24" customHeight="1" x14ac:dyDescent="0.35">
      <c r="A27" s="23" t="s">
        <v>186</v>
      </c>
      <c r="B27" s="24">
        <f>COUNTIF('Personnel Register'!F6:F200,A27)</f>
        <v>1</v>
      </c>
      <c r="C27" s="24">
        <f>COUNTIFS('Personnel Register'!F6:F200,A27,'Personnel Register'!P6:P200,"✅ Compliant")</f>
        <v>0</v>
      </c>
      <c r="D27" s="24">
        <f>COUNTIFS('CAC &amp; Identity'!C6:C200,"&lt;&gt;Government",'CAC &amp; Identity'!D6:D200,"Current")</f>
        <v>6</v>
      </c>
      <c r="E27" s="24">
        <f>COUNTIF('Annual Training'!D6:D200,"Complete")</f>
        <v>7</v>
      </c>
      <c r="F27" s="24">
        <f>COUNTIF('NDA &amp; Agreements'!D6:D200,"Yes")</f>
        <v>8</v>
      </c>
    </row>
    <row r="28" spans="1:6" ht="24" customHeight="1" x14ac:dyDescent="0.35">
      <c r="A28" s="25" t="s">
        <v>150</v>
      </c>
      <c r="B28" s="26">
        <f>COUNTIF('Personnel Register'!F6:F200,A28)</f>
        <v>1</v>
      </c>
      <c r="C28" s="26">
        <f>COUNTIFS('Personnel Register'!F6:F200,A28,'Personnel Register'!P6:P200,"✅ Compliant")</f>
        <v>0</v>
      </c>
      <c r="D28" s="26">
        <f>COUNTIFS('CAC &amp; Identity'!C6:C200,"&lt;&gt;Government",'CAC &amp; Identity'!D6:D200,"Current")</f>
        <v>6</v>
      </c>
      <c r="E28" s="26">
        <f>COUNTIF('Annual Training'!D6:D200,"Complete")</f>
        <v>7</v>
      </c>
      <c r="F28" s="26">
        <f>COUNTIF('NDA &amp; Agreements'!D6:D200,"Yes")</f>
        <v>8</v>
      </c>
    </row>
    <row r="30" spans="1:6" ht="24" customHeight="1" x14ac:dyDescent="0.35">
      <c r="A30" s="1" t="s">
        <v>397</v>
      </c>
      <c r="B30" s="1"/>
      <c r="C30" s="1"/>
      <c r="D30" s="1"/>
      <c r="E30" s="1"/>
      <c r="F30" s="1"/>
    </row>
    <row r="31" spans="1:6" ht="27.75" customHeight="1" x14ac:dyDescent="0.35">
      <c r="A31" s="18" t="s">
        <v>70</v>
      </c>
      <c r="B31" s="18" t="s">
        <v>398</v>
      </c>
      <c r="C31" s="18" t="s">
        <v>191</v>
      </c>
      <c r="D31" s="18" t="s">
        <v>399</v>
      </c>
      <c r="E31" s="18" t="s">
        <v>400</v>
      </c>
      <c r="F31" s="18" t="s">
        <v>401</v>
      </c>
    </row>
    <row r="32" spans="1:6" ht="25.5" customHeight="1" x14ac:dyDescent="0.35">
      <c r="A32" s="40" t="str">
        <f ca="1">IFERROR(INDEX(PersonnelRegister[Person ID],MATCH("⚠️ Action Required",OFFSET(PersonnelRegister[Person ID],0,15,ROWS(PersonnelRegister[Person ID]),1),0)+0),"—")</f>
        <v>▶ COPY ROW — fill non-AUTO fields</v>
      </c>
      <c r="B32" s="40"/>
      <c r="C32" s="40"/>
      <c r="D32" s="40"/>
      <c r="E32" s="40"/>
      <c r="F32" s="40"/>
    </row>
    <row r="33" spans="1:6" ht="25.5" customHeight="1" x14ac:dyDescent="0.35">
      <c r="A33" s="41" t="str">
        <f ca="1">IFERROR(INDEX(PersonnelRegister[Person ID],MATCH("⚠️ Action Required",OFFSET(PersonnelRegister[Person ID],0,15,ROWS(PersonnelRegister[Person ID]),1),0)+1),"—")</f>
        <v>P-001</v>
      </c>
      <c r="B33" s="41"/>
      <c r="C33" s="41"/>
      <c r="D33" s="41"/>
      <c r="E33" s="41"/>
      <c r="F33" s="41"/>
    </row>
    <row r="34" spans="1:6" ht="25.5" customHeight="1" x14ac:dyDescent="0.35">
      <c r="A34" s="40" t="str">
        <f ca="1">IFERROR(INDEX(PersonnelRegister[Person ID],MATCH("⚠️ Action Required",OFFSET(PersonnelRegister[Person ID],0,15,ROWS(PersonnelRegister[Person ID]),1),0)+2),"—")</f>
        <v>P-002</v>
      </c>
      <c r="B34" s="40"/>
      <c r="C34" s="40"/>
      <c r="D34" s="40"/>
      <c r="E34" s="40"/>
      <c r="F34" s="40"/>
    </row>
    <row r="35" spans="1:6" ht="25.5" customHeight="1" x14ac:dyDescent="0.35">
      <c r="A35" s="41" t="str">
        <f ca="1">IFERROR(INDEX(PersonnelRegister[Person ID],MATCH("⚠️ Action Required",OFFSET(PersonnelRegister[Person ID],0,15,ROWS(PersonnelRegister[Person ID]),1),0)+3),"—")</f>
        <v>P-003</v>
      </c>
      <c r="B35" s="41"/>
      <c r="C35" s="41"/>
      <c r="D35" s="41"/>
      <c r="E35" s="41"/>
      <c r="F35" s="41"/>
    </row>
    <row r="36" spans="1:6" ht="25.5" customHeight="1" x14ac:dyDescent="0.35">
      <c r="A36" s="40" t="str">
        <f ca="1">IFERROR(INDEX(PersonnelRegister[Person ID],MATCH("⚠️ Action Required",OFFSET(PersonnelRegister[Person ID],0,15,ROWS(PersonnelRegister[Person ID]),1),0)+4),"—")</f>
        <v>P-004</v>
      </c>
      <c r="B36" s="40"/>
      <c r="C36" s="40"/>
      <c r="D36" s="40"/>
      <c r="E36" s="40"/>
      <c r="F36" s="40"/>
    </row>
  </sheetData>
  <mergeCells count="19">
    <mergeCell ref="D18:F18"/>
    <mergeCell ref="D19:F19"/>
    <mergeCell ref="A21:F21"/>
    <mergeCell ref="A30:F30"/>
    <mergeCell ref="D13:F13"/>
    <mergeCell ref="D14:F14"/>
    <mergeCell ref="D15:F15"/>
    <mergeCell ref="D16:F16"/>
    <mergeCell ref="D17:F17"/>
    <mergeCell ref="D8:F8"/>
    <mergeCell ref="D9:F9"/>
    <mergeCell ref="D10:F10"/>
    <mergeCell ref="D11:F11"/>
    <mergeCell ref="D12:F12"/>
    <mergeCell ref="A1:F1"/>
    <mergeCell ref="A2:F2"/>
    <mergeCell ref="A4:F4"/>
    <mergeCell ref="D6:F6"/>
    <mergeCell ref="D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Personnel Register</vt:lpstr>
      <vt:lpstr>CAC &amp; Identity</vt:lpstr>
      <vt:lpstr>Annual Training</vt:lpstr>
      <vt:lpstr>System Access</vt:lpstr>
      <vt:lpstr>NDA &amp; Agreements</vt:lpstr>
      <vt:lpstr>Compliance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Briana Carter</cp:lastModifiedBy>
  <cp:revision>0</cp:revision>
  <dcterms:created xsi:type="dcterms:W3CDTF">2026-06-24T02:45:55Z</dcterms:created>
  <dcterms:modified xsi:type="dcterms:W3CDTF">2026-06-24T03:48:22Z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2026-06-24T03:48:22Z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74746a74-7b2e-4c58-833a-c421aa37ba65</vt:lpwstr>
  </property>
  <property fmtid="{D5CDD505-2E9C-101B-9397-08002B2CF9AE}" pid="7" name="MSIP_Label_defa4170-0d19-0005-0004-bc88714345d2_ActionId">
    <vt:lpwstr>ba34f40c-ae16-4e2f-912f-8983ea8e0881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